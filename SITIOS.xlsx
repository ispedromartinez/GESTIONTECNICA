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arti\Downloads\"/>
    </mc:Choice>
  </mc:AlternateContent>
  <xr:revisionPtr revIDLastSave="0" documentId="8_{BDE2A5D1-C162-4444-81A4-B20ED1C373E6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itios" sheetId="7" r:id="rId1"/>
    <sheet name="Hoja de Cálculo - Costos insumo" sheetId="4" state="hidden" r:id="rId2"/>
  </sheets>
  <externalReferences>
    <externalReference r:id="rId3"/>
  </externalReferences>
  <definedNames>
    <definedName name="_xlnm._FilterDatabase" localSheetId="1" hidden="1">'Hoja de Cálculo - Costos insumo'!$B$10:$K$354</definedName>
    <definedName name="_xlnm._FilterDatabase" localSheetId="0" hidden="1">Sitios!$A$1:$B$167</definedName>
    <definedName name="CodEaton">'[1]Lista de Precios EATON 2014'!$C$7:$C$399</definedName>
    <definedName name="CodImportacion">'[1]Importaciones ICETEL 2013-2014'!$U$327:$U$469</definedName>
    <definedName name="Incoterms">'[1]Importaciones ICETEL 2013-2014'!$V$327:$V$331</definedName>
    <definedName name="Transporte">'[1]Importaciones ICETEL 2013-2014'!$T$327:$T$330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48" i="4" l="1"/>
  <c r="K49" i="4"/>
  <c r="K50" i="4"/>
  <c r="K51" i="4"/>
  <c r="K52" i="4"/>
  <c r="K53" i="4"/>
  <c r="K54" i="4"/>
  <c r="K55" i="4"/>
  <c r="K56" i="4"/>
  <c r="K57" i="4"/>
  <c r="K58" i="4"/>
  <c r="K354" i="4" l="1"/>
  <c r="K353" i="4"/>
  <c r="K352" i="4"/>
  <c r="K351" i="4"/>
  <c r="K350" i="4"/>
  <c r="K349" i="4"/>
  <c r="K348" i="4"/>
  <c r="K347" i="4"/>
  <c r="K346" i="4"/>
  <c r="K345" i="4"/>
  <c r="K344" i="4"/>
  <c r="K343" i="4"/>
  <c r="K342" i="4"/>
  <c r="K341" i="4"/>
  <c r="K340" i="4"/>
  <c r="K339" i="4"/>
  <c r="K338" i="4"/>
  <c r="K337" i="4"/>
  <c r="K336" i="4"/>
  <c r="K335" i="4"/>
  <c r="K334" i="4"/>
  <c r="K333" i="4"/>
  <c r="K332" i="4"/>
  <c r="K331" i="4"/>
  <c r="K330" i="4"/>
  <c r="K329" i="4"/>
  <c r="K328" i="4"/>
  <c r="K327" i="4"/>
  <c r="K326" i="4"/>
  <c r="K325" i="4"/>
  <c r="K324" i="4"/>
  <c r="K323" i="4"/>
  <c r="K322" i="4"/>
  <c r="K321" i="4"/>
  <c r="K320" i="4"/>
  <c r="K319" i="4"/>
  <c r="K318" i="4"/>
  <c r="K317" i="4"/>
  <c r="K316" i="4"/>
  <c r="K315" i="4"/>
  <c r="K314" i="4"/>
  <c r="K313" i="4"/>
  <c r="K312" i="4"/>
  <c r="K311" i="4"/>
  <c r="K310" i="4"/>
  <c r="K309" i="4"/>
  <c r="K308" i="4"/>
  <c r="K307" i="4"/>
  <c r="K306" i="4"/>
  <c r="K305" i="4"/>
  <c r="K304" i="4"/>
  <c r="K303" i="4"/>
  <c r="K302" i="4"/>
  <c r="K301" i="4"/>
  <c r="K300" i="4"/>
  <c r="K299" i="4"/>
  <c r="K298" i="4"/>
  <c r="K297" i="4"/>
  <c r="K296" i="4"/>
  <c r="K295" i="4"/>
  <c r="K294" i="4"/>
  <c r="K293" i="4"/>
  <c r="K292" i="4"/>
  <c r="K291" i="4"/>
  <c r="K290" i="4"/>
  <c r="K289" i="4"/>
  <c r="K288" i="4"/>
  <c r="K287" i="4"/>
  <c r="K286" i="4"/>
  <c r="K285" i="4"/>
  <c r="K284" i="4"/>
  <c r="K283" i="4"/>
  <c r="K282" i="4"/>
  <c r="K281" i="4"/>
  <c r="K280" i="4"/>
  <c r="K279" i="4"/>
  <c r="K278" i="4"/>
  <c r="K277" i="4"/>
  <c r="K276" i="4"/>
  <c r="K275" i="4"/>
  <c r="K274" i="4"/>
  <c r="K273" i="4"/>
  <c r="K272" i="4"/>
  <c r="K271" i="4"/>
  <c r="K270" i="4"/>
  <c r="K269" i="4"/>
  <c r="K268" i="4"/>
  <c r="K267" i="4"/>
  <c r="K266" i="4"/>
  <c r="K265" i="4"/>
  <c r="K264" i="4"/>
  <c r="K263" i="4"/>
  <c r="K262" i="4"/>
  <c r="K261" i="4"/>
  <c r="K260" i="4"/>
  <c r="K259" i="4"/>
  <c r="K258" i="4"/>
  <c r="K257" i="4"/>
  <c r="K256" i="4"/>
  <c r="K255" i="4"/>
  <c r="K254" i="4"/>
  <c r="K253" i="4"/>
  <c r="K252" i="4"/>
  <c r="K251" i="4"/>
  <c r="K250" i="4"/>
  <c r="K249" i="4"/>
  <c r="K248" i="4"/>
  <c r="K247" i="4"/>
  <c r="K246" i="4"/>
  <c r="K245" i="4"/>
  <c r="K244" i="4"/>
  <c r="K243" i="4"/>
  <c r="K242" i="4"/>
  <c r="K241" i="4"/>
  <c r="K240" i="4"/>
  <c r="K239" i="4"/>
  <c r="K238" i="4"/>
  <c r="K237" i="4"/>
  <c r="K236" i="4"/>
  <c r="K235" i="4"/>
  <c r="K234" i="4"/>
  <c r="K233" i="4"/>
  <c r="K232" i="4"/>
  <c r="K231" i="4"/>
  <c r="K230" i="4"/>
  <c r="K229" i="4"/>
  <c r="K228" i="4"/>
  <c r="K227" i="4"/>
  <c r="K226" i="4"/>
  <c r="K225" i="4"/>
  <c r="K224" i="4"/>
  <c r="K223" i="4"/>
  <c r="K222" i="4"/>
  <c r="K221" i="4"/>
  <c r="K220" i="4"/>
  <c r="K219" i="4"/>
  <c r="K218" i="4"/>
  <c r="K217" i="4"/>
  <c r="K216" i="4"/>
  <c r="K215" i="4"/>
  <c r="K214" i="4"/>
  <c r="K213" i="4"/>
  <c r="K212" i="4"/>
  <c r="K211" i="4"/>
  <c r="K210" i="4"/>
  <c r="K209" i="4"/>
  <c r="K208" i="4"/>
  <c r="K207" i="4"/>
  <c r="K206" i="4"/>
  <c r="K205" i="4"/>
  <c r="K204" i="4"/>
  <c r="K203" i="4"/>
  <c r="K202" i="4"/>
  <c r="K201" i="4"/>
  <c r="K200" i="4"/>
  <c r="K199" i="4"/>
  <c r="K198" i="4"/>
  <c r="K197" i="4"/>
  <c r="K196" i="4"/>
  <c r="K195" i="4"/>
  <c r="K194" i="4"/>
  <c r="K193" i="4"/>
  <c r="K192" i="4"/>
  <c r="K191" i="4"/>
  <c r="K190" i="4"/>
  <c r="K189" i="4"/>
  <c r="K188" i="4"/>
  <c r="K187" i="4"/>
  <c r="K186" i="4"/>
  <c r="K185" i="4"/>
  <c r="K184" i="4"/>
  <c r="K183" i="4"/>
  <c r="K182" i="4"/>
  <c r="K181" i="4"/>
  <c r="K180" i="4"/>
  <c r="K179" i="4"/>
  <c r="K178" i="4"/>
  <c r="K177" i="4"/>
  <c r="K176" i="4"/>
  <c r="K175" i="4"/>
  <c r="K174" i="4"/>
  <c r="K173" i="4"/>
  <c r="K172" i="4"/>
  <c r="K171" i="4"/>
  <c r="K170" i="4"/>
  <c r="K169" i="4"/>
  <c r="K168" i="4"/>
  <c r="K167" i="4"/>
  <c r="K166" i="4"/>
  <c r="K165" i="4"/>
  <c r="K164" i="4"/>
  <c r="K163" i="4"/>
  <c r="K162" i="4"/>
  <c r="K161" i="4"/>
  <c r="K160" i="4"/>
  <c r="K159" i="4"/>
  <c r="K158" i="4"/>
  <c r="K157" i="4"/>
  <c r="K156" i="4"/>
  <c r="K155" i="4"/>
  <c r="K154" i="4"/>
  <c r="K153" i="4"/>
  <c r="K152" i="4"/>
  <c r="K151" i="4"/>
  <c r="K150" i="4"/>
  <c r="K149" i="4"/>
  <c r="K148" i="4"/>
  <c r="K147" i="4"/>
  <c r="K146" i="4"/>
  <c r="K145" i="4"/>
  <c r="K144" i="4"/>
  <c r="K143" i="4"/>
  <c r="K142" i="4"/>
  <c r="K141" i="4"/>
  <c r="K140" i="4"/>
  <c r="K139" i="4"/>
  <c r="K138" i="4"/>
  <c r="K137" i="4"/>
  <c r="K136" i="4"/>
  <c r="K135" i="4"/>
  <c r="K134" i="4"/>
  <c r="K133" i="4"/>
  <c r="K132" i="4"/>
  <c r="K131" i="4"/>
  <c r="K130" i="4"/>
  <c r="K129" i="4"/>
  <c r="K128" i="4"/>
  <c r="K127" i="4"/>
  <c r="K126" i="4"/>
  <c r="K125" i="4"/>
  <c r="K124" i="4"/>
  <c r="K123" i="4"/>
  <c r="K122" i="4"/>
  <c r="K121" i="4"/>
  <c r="K120" i="4"/>
  <c r="K119" i="4"/>
  <c r="K118" i="4"/>
  <c r="K117" i="4"/>
  <c r="K116" i="4"/>
  <c r="K115" i="4"/>
  <c r="K114" i="4"/>
  <c r="K113" i="4"/>
  <c r="K112" i="4"/>
  <c r="K111" i="4"/>
  <c r="K110" i="4"/>
  <c r="K109" i="4"/>
  <c r="K108" i="4"/>
  <c r="K107" i="4"/>
  <c r="K106" i="4"/>
  <c r="K105" i="4"/>
  <c r="K104" i="4"/>
  <c r="K103" i="4"/>
  <c r="K102" i="4"/>
  <c r="K101" i="4"/>
  <c r="K100" i="4"/>
  <c r="K99" i="4"/>
  <c r="K98" i="4"/>
  <c r="K97" i="4"/>
  <c r="K96" i="4"/>
  <c r="K95" i="4"/>
  <c r="K94" i="4"/>
  <c r="K93" i="4"/>
  <c r="K92" i="4"/>
  <c r="K91" i="4"/>
  <c r="K90" i="4"/>
  <c r="K89" i="4"/>
  <c r="K88" i="4"/>
  <c r="K87" i="4"/>
  <c r="K86" i="4"/>
  <c r="K85" i="4"/>
  <c r="K84" i="4"/>
  <c r="K83" i="4"/>
  <c r="K82" i="4"/>
  <c r="K81" i="4"/>
  <c r="K80" i="4"/>
  <c r="K79" i="4"/>
  <c r="K78" i="4"/>
  <c r="K77" i="4"/>
  <c r="K76" i="4"/>
  <c r="K75" i="4"/>
  <c r="K74" i="4"/>
  <c r="K73" i="4"/>
  <c r="K72" i="4"/>
  <c r="K71" i="4"/>
  <c r="K70" i="4"/>
  <c r="K69" i="4"/>
  <c r="K68" i="4"/>
  <c r="K67" i="4"/>
  <c r="K66" i="4"/>
  <c r="K65" i="4"/>
  <c r="K64" i="4"/>
  <c r="K63" i="4"/>
  <c r="K62" i="4"/>
  <c r="K61" i="4"/>
  <c r="K60" i="4"/>
  <c r="K59" i="4"/>
  <c r="K47" i="4"/>
  <c r="K46" i="4"/>
  <c r="K45" i="4"/>
  <c r="K44" i="4"/>
  <c r="K43" i="4"/>
  <c r="K42" i="4"/>
  <c r="K41" i="4"/>
  <c r="K40" i="4"/>
  <c r="K39" i="4"/>
  <c r="K38" i="4"/>
  <c r="K37" i="4"/>
  <c r="K36" i="4"/>
  <c r="K35" i="4"/>
  <c r="K34" i="4"/>
  <c r="K33" i="4"/>
  <c r="K32" i="4"/>
  <c r="K31" i="4"/>
  <c r="K30" i="4"/>
  <c r="K29" i="4"/>
  <c r="K28" i="4"/>
  <c r="K27" i="4"/>
  <c r="K26" i="4"/>
  <c r="K25" i="4"/>
  <c r="K24" i="4"/>
  <c r="K23" i="4"/>
  <c r="K22" i="4"/>
  <c r="K21" i="4"/>
  <c r="K20" i="4"/>
  <c r="K19" i="4"/>
  <c r="K18" i="4"/>
  <c r="K17" i="4"/>
  <c r="K16" i="4"/>
  <c r="K15" i="4"/>
  <c r="K14" i="4"/>
  <c r="K13" i="4"/>
  <c r="K12" i="4"/>
  <c r="K11" i="4"/>
  <c r="K4" i="4" l="1"/>
</calcChain>
</file>

<file path=xl/sharedStrings.xml><?xml version="1.0" encoding="utf-8"?>
<sst xmlns="http://schemas.openxmlformats.org/spreadsheetml/2006/main" count="2103" uniqueCount="723">
  <si>
    <t>MTS</t>
  </si>
  <si>
    <t>N° Item</t>
  </si>
  <si>
    <t>Cantidad</t>
  </si>
  <si>
    <t xml:space="preserve">Team M.O Diurna Técnicos (2 Personas) </t>
  </si>
  <si>
    <t>Combustible Traslado Santiago Ciudad destino</t>
  </si>
  <si>
    <t>Suma Valores</t>
  </si>
  <si>
    <t>Equipamiento</t>
  </si>
  <si>
    <t>Ítem</t>
  </si>
  <si>
    <t>Proveedor</t>
  </si>
  <si>
    <t>Cod.Prov</t>
  </si>
  <si>
    <t>Producto</t>
  </si>
  <si>
    <t>Unidad</t>
  </si>
  <si>
    <t xml:space="preserve">Valor Unit </t>
  </si>
  <si>
    <t xml:space="preserve"> Total </t>
  </si>
  <si>
    <t>Costos Directos ICETEL</t>
  </si>
  <si>
    <t>Viático</t>
  </si>
  <si>
    <t>N/A</t>
  </si>
  <si>
    <t>Jornada</t>
  </si>
  <si>
    <t>Viático Individual-Zona (Regiones III, IV, V, VI, VII, VIII,IX,X,XIV) - Jefe Proyecto</t>
  </si>
  <si>
    <t>Viático Individual-Zona (Regiones III, IV, V, VI, VII, VIII,IX,X,XIV) - Ingeniero</t>
  </si>
  <si>
    <t>Viático Individual-Zona (Regiones III, IV, V, VI, VII, VIII,IX,X,XIV) - Técnico</t>
  </si>
  <si>
    <t>Viático Individual-Zona (Regiones XV, I, II, XI, XII) - Jefe Proyecto</t>
  </si>
  <si>
    <t>Viático Individual-Zona (Regiones XV, I, II, XI, XII) - Ingeniero</t>
  </si>
  <si>
    <t>Viático Individual-Zona (Regiones XV, I, II, XI, XII) - Técnico</t>
  </si>
  <si>
    <t>Servicio</t>
  </si>
  <si>
    <t>M.O Diurna Técnico</t>
  </si>
  <si>
    <t>Jornada Diurna</t>
  </si>
  <si>
    <t>2 Personas / Dia</t>
  </si>
  <si>
    <t>M.O Diurna Supervisor</t>
  </si>
  <si>
    <t xml:space="preserve">Team M.O Diurna Supervisores (2 Personas) </t>
  </si>
  <si>
    <t>M. O. Nocturna Técnico</t>
  </si>
  <si>
    <t>Jornada Nocturna</t>
  </si>
  <si>
    <t xml:space="preserve">Team M.O Nocturna Técnicos (2 Personas) </t>
  </si>
  <si>
    <t>2 Personas / Noche</t>
  </si>
  <si>
    <t>M. O. Nocturna Supervisor</t>
  </si>
  <si>
    <t xml:space="preserve">Team M.O Nocturna Supervisores (2 Personas) </t>
  </si>
  <si>
    <t>Flete. 2000Kg  200Km</t>
  </si>
  <si>
    <t>Serv</t>
  </si>
  <si>
    <t>Supervisión</t>
  </si>
  <si>
    <t>Armado Bancos GNB - M.O Nocturna</t>
  </si>
  <si>
    <t>Pruebas de Descarga Bancos GNB - M.O Nocturna</t>
  </si>
  <si>
    <t>Prevencionista</t>
  </si>
  <si>
    <t>Día</t>
  </si>
  <si>
    <t>Jefe de Proyecto</t>
  </si>
  <si>
    <t>Traslado Santiago - Arica</t>
  </si>
  <si>
    <t>Traslado Santiago - Antofagasta</t>
  </si>
  <si>
    <t>Traslado Santiago - Puerto Montt</t>
  </si>
  <si>
    <t>Traslado Santiago - Concepción</t>
  </si>
  <si>
    <t>Arriendo de vehículo</t>
  </si>
  <si>
    <t>Km/Lts</t>
  </si>
  <si>
    <t>Peaje y/o Tags</t>
  </si>
  <si>
    <t>Estacionamiento</t>
  </si>
  <si>
    <t>Centrales</t>
  </si>
  <si>
    <t>Dirección</t>
  </si>
  <si>
    <t xml:space="preserve">4 PONIENTE 145   </t>
  </si>
  <si>
    <t xml:space="preserve">ESPERANZA 56-58-60 </t>
  </si>
  <si>
    <t xml:space="preserve">MANUEL BARROS BORGOÑO 316 </t>
  </si>
  <si>
    <t>CAMINO CAMPO DE GOLF</t>
  </si>
  <si>
    <t>CARRETERA G. SAN MARTIN, LOTE NN, LT 2</t>
  </si>
  <si>
    <t>ERRAZURIZ MZ 29 SITIO 46</t>
  </si>
  <si>
    <t xml:space="preserve">COQUIMBO 650  BD.1 </t>
  </si>
  <si>
    <t>CAUPOLICAN 9940 - LT 119</t>
  </si>
  <si>
    <t>BERNARDINO BRAVO 375</t>
  </si>
  <si>
    <t>VILLA EL INCA CAMINO VIEJO RUTA 68</t>
  </si>
  <si>
    <t>TEATINOS 950, BODEGA 1</t>
  </si>
  <si>
    <t xml:space="preserve">CAMINO DEL CARMEN 167 (PARAD. 7  LOTE C ) </t>
  </si>
  <si>
    <t>AV. SAN JOSE DE LA ESTRELLA 2201</t>
  </si>
  <si>
    <t>27 DE SEPTIEMBRE 4299</t>
  </si>
  <si>
    <t>ARTURO PRAT 5601</t>
  </si>
  <si>
    <t>FUNDO ALGARROBAL S/N</t>
  </si>
  <si>
    <t>CHILOE 1930</t>
  </si>
  <si>
    <t>RUIZ TAGLE 065 / ESQ CONCEPCION 215-237</t>
  </si>
  <si>
    <t xml:space="preserve">CIUDAD DE LOS VALLES - PUDAHUEL </t>
  </si>
  <si>
    <t>EL ATAJO 4424</t>
  </si>
  <si>
    <t>SAN ALFONSO 1307</t>
  </si>
  <si>
    <t>QUINTA TRANSVERSAL 5620</t>
  </si>
  <si>
    <t>TENIENTE PONCE 1757</t>
  </si>
  <si>
    <t>CAMINO LONQUEN NORTE SITIO 17 PAR. 7</t>
  </si>
  <si>
    <t xml:space="preserve">O´HIGGINS 2009 (O"HIGGINS 1718  LT 1 A) </t>
  </si>
  <si>
    <t>TRES CRUCES 5493</t>
  </si>
  <si>
    <t>PASTOR FERNANDEZ 16416 (CAMINO DEL CAJON 16416 ST 2 A )</t>
  </si>
  <si>
    <t xml:space="preserve">NVA. SAN MARTIN 2083  </t>
  </si>
  <si>
    <t>AV. EINSTEIN 626</t>
  </si>
  <si>
    <t xml:space="preserve">ANIBAL PINTO 25 - 29 </t>
  </si>
  <si>
    <t>AV. GABRIELA ORIENTE 2551</t>
  </si>
  <si>
    <t>AV. GUILLERMO MANN 1815</t>
  </si>
  <si>
    <t>CACIQUE COLIN 24</t>
  </si>
  <si>
    <t xml:space="preserve">EXEQUIEL FERNANDEZ 5660  </t>
  </si>
  <si>
    <t xml:space="preserve">PSJE. SAGRADO CORAZON 1470  </t>
  </si>
  <si>
    <t>SANTOS DUMONT 984</t>
  </si>
  <si>
    <t>AV. CENTRAL 53</t>
  </si>
  <si>
    <t xml:space="preserve">G. GONZALEZ VIDELA S/ N </t>
  </si>
  <si>
    <t xml:space="preserve">DIEGO PORTALES 118 (CAMINO PUBLICO HOSPITAL 118) </t>
  </si>
  <si>
    <t>AV. LAS TORRES 1423 (AV LAS TORRES 1417)</t>
  </si>
  <si>
    <t>2 SUR CON 3 ORIENTE - CAM. POLPAICO</t>
  </si>
  <si>
    <t xml:space="preserve">TENIENTE CRUZ 1194  (PRESIDENTE TRUMAM 8336) </t>
  </si>
  <si>
    <t xml:space="preserve">SANTELICES 651 </t>
  </si>
  <si>
    <t>GOYCOLEA 086</t>
  </si>
  <si>
    <t>FROILAN ROA 5661</t>
  </si>
  <si>
    <t xml:space="preserve">SHOPPING LOCAL 53. EL RODEO 12850 </t>
  </si>
  <si>
    <t>AV. CENTRAL 241</t>
  </si>
  <si>
    <t>EMILLE ALLAIS S/N</t>
  </si>
  <si>
    <t>SALZBURGO 4116</t>
  </si>
  <si>
    <t>BALDOMERO LILLO 1873</t>
  </si>
  <si>
    <t xml:space="preserve">SIMON BOLIVAR 8445  </t>
  </si>
  <si>
    <t xml:space="preserve">AV. DEL PARQUE 0261  </t>
  </si>
  <si>
    <t xml:space="preserve">LAGUNA SUR 7299 </t>
  </si>
  <si>
    <t>LAMPA BAQUEDANO 6</t>
  </si>
  <si>
    <t>BAQUEDANO 6</t>
  </si>
  <si>
    <t>FERMIN VERGARA, SITIO 17</t>
  </si>
  <si>
    <t xml:space="preserve">LAS CONDES MÁLAGA 74  </t>
  </si>
  <si>
    <t xml:space="preserve">MÁLAGA 74  </t>
  </si>
  <si>
    <t xml:space="preserve">CAM. LONQUEN CON CAM. LOS PERROS, PDERO 37 </t>
  </si>
  <si>
    <t>AV. QUILIN (FRENTE AL N°10360)</t>
  </si>
  <si>
    <t>AV. BDO. O'HIGGINS 4532</t>
  </si>
  <si>
    <t>LOS ACACIOS 2900</t>
  </si>
  <si>
    <t>CAMINO LIRAY, PARCELA 11 (LA COPA PC 11 LT C)</t>
  </si>
  <si>
    <t xml:space="preserve">LO ARCAYA DE PIRQUE SITIO 12, PARCELACION LAS CASAS DE LO ARCAYA </t>
  </si>
  <si>
    <t xml:space="preserve">SITIO 12, PARCELACION LAS CASAS DE LO ARCAYA </t>
  </si>
  <si>
    <t xml:space="preserve">SAN JUAN DE DIOS 13747  </t>
  </si>
  <si>
    <t xml:space="preserve">WALKER MARTINEZ 1696 (WALKER MARTINEZ 1696) </t>
  </si>
  <si>
    <t xml:space="preserve">PSJE. REQUINOA 502  </t>
  </si>
  <si>
    <t>AV. FERROCARRIL 7327</t>
  </si>
  <si>
    <t xml:space="preserve">QUEBRADA DE SUCA 1220  </t>
  </si>
  <si>
    <t>CACIQUE COLIN 409</t>
  </si>
  <si>
    <t xml:space="preserve">RODRIGO DE ARAYA 4471  </t>
  </si>
  <si>
    <t>CAMINO LONQUEN NORTE PARCELA 14</t>
  </si>
  <si>
    <t>CAMINO LONQUEN PARADERO 22</t>
  </si>
  <si>
    <t xml:space="preserve">PJE. RÍO GRANDE ESQ. CABO LEONES </t>
  </si>
  <si>
    <t xml:space="preserve">REPÚBLICA DE HONDURAS 12298  </t>
  </si>
  <si>
    <t xml:space="preserve">LAGO BOLSENA 18600 - CIUDAD SATÉLITE </t>
  </si>
  <si>
    <t>LUIS MATTE 750</t>
  </si>
  <si>
    <t xml:space="preserve">AV. SAN LUIS DE MACUL 6260 - 6264 </t>
  </si>
  <si>
    <t>ISLA DE PASCUA 129</t>
  </si>
  <si>
    <t xml:space="preserve">J. JOSE RIVERA 416 - 422  </t>
  </si>
  <si>
    <t>MAIPO LOS NOGALES 026</t>
  </si>
  <si>
    <t>LOS NOGALES 026</t>
  </si>
  <si>
    <t xml:space="preserve">MALLOCO BALMACEDA 689  </t>
  </si>
  <si>
    <t xml:space="preserve">BALMACEDA 689  </t>
  </si>
  <si>
    <t xml:space="preserve">AV. MANUEL MONTT 1404 </t>
  </si>
  <si>
    <t xml:space="preserve">MERCED 606  </t>
  </si>
  <si>
    <t>NUEVA PUDAHUEL AEROPUERTO</t>
  </si>
  <si>
    <t>AEROPUERTO</t>
  </si>
  <si>
    <t xml:space="preserve">CAMINO A MELIPILLA 2138  </t>
  </si>
  <si>
    <t xml:space="preserve">BAQUEDANO 740 (BAQUEDANO 740) </t>
  </si>
  <si>
    <t>AV. PAJARITOS 4422</t>
  </si>
  <si>
    <t>CENTENARIO 03096</t>
  </si>
  <si>
    <t xml:space="preserve">PARQUE ALMAGRO EYZAGUIRRE 1140  </t>
  </si>
  <si>
    <t xml:space="preserve">EYZAGUIRRE 1140  </t>
  </si>
  <si>
    <t>ÑUÑOA CLORINDA WILLSHAW 563</t>
  </si>
  <si>
    <t>CLORINDA WILLSHAW 563</t>
  </si>
  <si>
    <t>PEDRO FONTOVA AV. PEDRO FONTOVA 7381</t>
  </si>
  <si>
    <t>AV. PEDRO FONTOVA 7381</t>
  </si>
  <si>
    <t xml:space="preserve">PEDRO DE VALDIVIA NORMANDIA 1945 </t>
  </si>
  <si>
    <t xml:space="preserve">NORMANDIA 1945 </t>
  </si>
  <si>
    <t>CAMINO ESTACION POLPAICO</t>
  </si>
  <si>
    <t>PANAMERICANA NORTE 18900</t>
  </si>
  <si>
    <t>PAN. NORTE ALT. 15550 (AV. J. DE LA FUENTE S/N)</t>
  </si>
  <si>
    <t xml:space="preserve">21 DE MAYO 3662 - 3682  </t>
  </si>
  <si>
    <t xml:space="preserve">AV. HOLANDA 326 </t>
  </si>
  <si>
    <t xml:space="preserve">ERNESTO ALVEAR 26  </t>
  </si>
  <si>
    <t>AV. AMERICO VESPUCIO 0800/ 0830</t>
  </si>
  <si>
    <t>BALMACEDA 3960</t>
  </si>
  <si>
    <t>AV. DEL VALLE 944 ( L 323)(AV. N°2 LOTE 24)</t>
  </si>
  <si>
    <t>EYZAGUIRRE 3790</t>
  </si>
  <si>
    <t>RAMON ROSALES 980</t>
  </si>
  <si>
    <t>RIVADENEIRA 4149</t>
  </si>
  <si>
    <t xml:space="preserve">LA BALANZA 890 - 1019  </t>
  </si>
  <si>
    <t xml:space="preserve">URMENETA 417  </t>
  </si>
  <si>
    <t xml:space="preserve">UNO SUR 198 (1 SUR 080) </t>
  </si>
  <si>
    <t xml:space="preserve">SANTA ROSA 10125 (STA ROSA ESQ ESPERANZA) </t>
  </si>
  <si>
    <t xml:space="preserve">CAMINO EL OLIVETO S/N  </t>
  </si>
  <si>
    <t>NUESTRA SEÑORA DEL PERDÓN 1870</t>
  </si>
  <si>
    <t xml:space="preserve">AV. CAMINO DE ASIS 111  </t>
  </si>
  <si>
    <t>MAIMONIDES 551</t>
  </si>
  <si>
    <t>AV. ALCALDE HERNAN PRIETO S/N</t>
  </si>
  <si>
    <t xml:space="preserve">LAGO PANGUIPILLI 3641 </t>
  </si>
  <si>
    <t>MAC-IVER 254</t>
  </si>
  <si>
    <t>CAMINO SANTA ROSA S/N (STA SARA PC 4 A Z)</t>
  </si>
  <si>
    <t xml:space="preserve">ESMERALDA 940 </t>
  </si>
  <si>
    <t xml:space="preserve">TENIENTE BERMAN 544 (SEBASTOPOL 553) </t>
  </si>
  <si>
    <t>LABARCA S/N</t>
  </si>
  <si>
    <t xml:space="preserve">SAN MARTIN 2276  </t>
  </si>
  <si>
    <t>SANTA RAQUEL 9990</t>
  </si>
  <si>
    <t xml:space="preserve">MAPOCHO 5051 - 5067  </t>
  </si>
  <si>
    <t xml:space="preserve">CLOTARIO BLEST 2640  </t>
  </si>
  <si>
    <t>UNION LATINO AMERICANA 102</t>
  </si>
  <si>
    <t xml:space="preserve">PEDRO AGUIRRE CERDA 8159  </t>
  </si>
  <si>
    <t xml:space="preserve">WALTER SCOTT 1577 </t>
  </si>
  <si>
    <t xml:space="preserve">ANDRES BELLO 2687  </t>
  </si>
  <si>
    <t xml:space="preserve">ANDRES BELLO 2777 EDIFICIO DE LA INDUSTRIA  </t>
  </si>
  <si>
    <t>EL ESTERO AV. HACIENDA MACUL</t>
  </si>
  <si>
    <t>CAMINO DEL SOLAR FTE 13647 (VALLE NORTE-CHICUREO)</t>
  </si>
  <si>
    <t>CARMEN BAJO CAMINO LA VILUMA KM 6</t>
  </si>
  <si>
    <t xml:space="preserve">CAMINO INTERIOR S/N </t>
  </si>
  <si>
    <t>AV. PRESIDENTE RIESCO 5333</t>
  </si>
  <si>
    <t>LAS VELGAS 12 - MELIPILLA</t>
  </si>
  <si>
    <t>RUTA 68 - LOMAS DE LO AGUIRRE</t>
  </si>
  <si>
    <t xml:space="preserve">APOQUINDO 3600 SUBTERRÁNEO </t>
  </si>
  <si>
    <t>EL BOSQUE 130</t>
  </si>
  <si>
    <t>GUARDIA VIEJA 241</t>
  </si>
  <si>
    <t xml:space="preserve">EL BOSQUE NORTE 0177 </t>
  </si>
  <si>
    <t>EL TROVADOR 4280</t>
  </si>
  <si>
    <t>NAPOLEÓN 3565 ESQ HENDAYA SUBTERRÁNEO -2</t>
  </si>
  <si>
    <t xml:space="preserve">AV. KENNEDY 5454 </t>
  </si>
  <si>
    <t>AV. LOS HALCONES 2010 SITIO 3-B2</t>
  </si>
  <si>
    <t>LOTEO AGRICOLA LAS BRISAS DE CHICUREO</t>
  </si>
  <si>
    <t xml:space="preserve">EL BOSQUE NORTE 0440 - HELVECIA 223 </t>
  </si>
  <si>
    <t>AV. STA. SOFIA ESQ. CAMINO DE LA VOCACION</t>
  </si>
  <si>
    <t>AV. SUBERCASEAUX 4000</t>
  </si>
  <si>
    <t>AV. ROJAS MAGALLANES S/N</t>
  </si>
  <si>
    <t>AV. LA HACIENDA 2382 LOTE 3</t>
  </si>
  <si>
    <t>PASAJE TORQUEMADA PARQUE CENTRAL BRISAS</t>
  </si>
  <si>
    <t>PIRQUE MUNICIPALIDAD DE PIRQUE</t>
  </si>
  <si>
    <t>MUNICIPALIDAD DE PIRQUE</t>
  </si>
  <si>
    <t>AV. CHILE 1078</t>
  </si>
  <si>
    <t>VOLCAN LLAIMA 451 - 461 L.B</t>
  </si>
  <si>
    <t>AV. TAJAMAR 481</t>
  </si>
  <si>
    <t xml:space="preserve">VITACURA 2771, 1° SUBTERRANEO </t>
  </si>
  <si>
    <t>DATA CENTER SAN MARTIN</t>
  </si>
  <si>
    <t>SAN MARTIN 48 SANTIAGO CENTRO</t>
  </si>
  <si>
    <t>DATA CENTER APOQUINDO</t>
  </si>
  <si>
    <t>PEHUEN 7071 LAS CONDES</t>
  </si>
  <si>
    <t>DATA CENTER SSGG SAN MARTIN 50</t>
  </si>
  <si>
    <t>SAN MARTIN 50 SANTIAGO CENTRO</t>
  </si>
  <si>
    <t>CIRION TP HUECHURABA</t>
  </si>
  <si>
    <t xml:space="preserve">TP SAN MARTA DE HUECHURABA </t>
  </si>
  <si>
    <t>CIRION SHELTER LEYDA</t>
  </si>
  <si>
    <t>CIRION LEYDA</t>
  </si>
  <si>
    <t>CIRION CS VALPARAISO</t>
  </si>
  <si>
    <t>MSO ROSAS</t>
  </si>
  <si>
    <t>ROSAS 2451, Santiago Centro</t>
  </si>
  <si>
    <t>MSO QUILICURA</t>
  </si>
  <si>
    <t>AV CAÑAVERAL 34, QUILICURA</t>
  </si>
  <si>
    <t>RSO CONCEPCION</t>
  </si>
  <si>
    <t>ANIBAL PINTO 105, CONCEPCION</t>
  </si>
  <si>
    <t>RSO ANTOFAGASTA</t>
  </si>
  <si>
    <t>FELIX GARCIA 581, ANTOFAGASTA</t>
  </si>
  <si>
    <t>RSO PUERTO MONTT</t>
  </si>
  <si>
    <t>AV LO CELIS S/N PUERTO MONTT</t>
  </si>
  <si>
    <t>RSO PUNTA ARENAS</t>
  </si>
  <si>
    <t>AV PDTE EDUARDO FREI MONTALVA 5, PUNTA ARENAS</t>
  </si>
  <si>
    <t xml:space="preserve">Valor UF </t>
  </si>
  <si>
    <t>Herramienta</t>
  </si>
  <si>
    <t>FO</t>
  </si>
  <si>
    <t>PIE DE METRO PLASTICO  DE 0-150 MM</t>
  </si>
  <si>
    <t>U</t>
  </si>
  <si>
    <t>Juego de destornillador TORX M/ROJO, 7 piezas (20897198), marca FELO.</t>
  </si>
  <si>
    <t>Juegos de destornilladores  5P/2C aislados 1.000V, 7 piezas (613967397), marca FELO.</t>
  </si>
  <si>
    <t>Juego de Brocas Acero Rápido, de 29 piezas /1/16”  - 1/2”), marca JK</t>
  </si>
  <si>
    <t xml:space="preserve">Broca SDS-PLUS 13.0x100/160mm (13107), marca JORAN. </t>
  </si>
  <si>
    <t>Broca SDS-PLUS 8.0x100/160mm (13094), marca JORAN.</t>
  </si>
  <si>
    <t>Broca SDS-PLUS 10x100/160mm (13098), marca JORAN.</t>
  </si>
  <si>
    <t>Broca SDS-PLUS 12x100/160mm (13103), marca JORAN.</t>
  </si>
  <si>
    <t>Broca SDS-PLUS 16.0x150/210mm (13116), marca JORAN.</t>
  </si>
  <si>
    <t>Llave francesa de 8” cromada aislada, (A701-8C), marca TULMEX-K.</t>
  </si>
  <si>
    <t>Llave francesa de 10” cromada aislada, (A701-10C), marca TULMEX-K.</t>
  </si>
  <si>
    <t>Huincha 8.0 metros x 1”, metal  (33-426), marca STANLEY.</t>
  </si>
  <si>
    <t>Escuadra scantillon  8” brasil (46-830), marca STANLEY.</t>
  </si>
  <si>
    <t>Martillo mecánico de 1.1/2 LBS (54-192), marca STANLEY.</t>
  </si>
  <si>
    <t>Arco Sierra  12” ajustable M/Cerrado (15-555), marca STANLEY.</t>
  </si>
  <si>
    <t>Juego 3 alicates  VDE 1.000 V, eléctricos (84-011), marca STANLEY.</t>
  </si>
  <si>
    <t>Juego llaves pta. Corona  6-24mm 16 piezas (5161), marca FORCE.</t>
  </si>
  <si>
    <t>Juego de dados de 1/4” 4-14mm (2203-5), marca FORCE.</t>
  </si>
  <si>
    <t>Juego de dados de 3/4”  6-22mm (3251-5), marca FORCE.</t>
  </si>
  <si>
    <t>Caimán boca curva de 10” cortante N°10WR (0502L3), marca VICE-GRIP.</t>
  </si>
  <si>
    <t>Taladro de 1/2” 680W, percutor  (HP1640K), marca MAKITA.</t>
  </si>
  <si>
    <t>Pistola aire caliente 1.600 W (HG5012K), marca MAKITA.</t>
  </si>
  <si>
    <t>Martillo rotativo 24mm SDS PLUS  (HR2460), marca MAKITA.</t>
  </si>
  <si>
    <t>LLAVE TORQUE 1/4 RANGO 40-180 LB/PULG 4-20 NM, PESO 0.4 KG, LARGO 220 MM.</t>
  </si>
  <si>
    <t>JGO. DE SIERRAS COPA INDUSTRIAL (KS291) - STARRETT</t>
  </si>
  <si>
    <t>Rhona</t>
  </si>
  <si>
    <t>Cortacable TCR325</t>
  </si>
  <si>
    <t>Juego Punzonador CC-60</t>
  </si>
  <si>
    <t>TENAZA PRENSA 16 A 120MM2</t>
  </si>
  <si>
    <t>Tenaza Prenza HD-16L</t>
  </si>
  <si>
    <t>Escalera Fibra 686-06, 136Kg, 1,83M</t>
  </si>
  <si>
    <t>Escalera Fibra 686-05, 136Kg, 1,52M</t>
  </si>
  <si>
    <t>Abasind</t>
  </si>
  <si>
    <t>Caja de Herramientas 28"</t>
  </si>
  <si>
    <t>Icetel</t>
  </si>
  <si>
    <t xml:space="preserve">Viático Individual- Santiago - Jornada </t>
  </si>
  <si>
    <t>DiA</t>
  </si>
  <si>
    <t>Desgaste Herramientas</t>
  </si>
  <si>
    <t>Combustible Zona</t>
  </si>
  <si>
    <t>Baterías Para -48 VDC Planta Rectificadora</t>
  </si>
  <si>
    <t>Suministro</t>
  </si>
  <si>
    <t>Teknica</t>
  </si>
  <si>
    <t xml:space="preserve">batería provisoria (12 Vdc hasta 400 AH), cerro  </t>
  </si>
  <si>
    <t>GL</t>
  </si>
  <si>
    <t xml:space="preserve">batería provisoria (12 Vdc hasta 400 AH), ciudad </t>
  </si>
  <si>
    <t xml:space="preserve">Prueba descarga (método, carga existente en sitio) </t>
  </si>
  <si>
    <t>4 Baterías de 12V (90-200Ah) - En Rectificador</t>
  </si>
  <si>
    <t>8 Baterías de 12V (90-200Ah)- En Rectificador</t>
  </si>
  <si>
    <t>Banco Baterías Estacionarias 2V 600Ah</t>
  </si>
  <si>
    <t>Banco Baterías Estacionarias 2V 1600Ah</t>
  </si>
  <si>
    <t>Rack 19" indoor configuración -48 Vcc / 24 Vcc</t>
  </si>
  <si>
    <t>C/U</t>
  </si>
  <si>
    <t>Rack para 16 baterías (icluye ferreterías y anclaje)</t>
  </si>
  <si>
    <t>Gabinete 19" outdoor configuración 24 Vcc / 48vcc</t>
  </si>
  <si>
    <t>Gabinete outdoor especial 16 Baterias</t>
  </si>
  <si>
    <t>Retiro de Equipamiento (Banco Baterías 600Ah)</t>
  </si>
  <si>
    <t>Retiro de Equipamiento (Banco Baterías 1600Ah)</t>
  </si>
  <si>
    <t>Retiro de Equipamiento (Banco Baterías 2000 -3000Ah)</t>
  </si>
  <si>
    <t>Pruebas de Capacidad en BB 600Ah - 1600AH</t>
  </si>
  <si>
    <t>Pruebas de Capacidad en BB 55Ah - 200AH</t>
  </si>
  <si>
    <t>Batería 12V90Ah Borne Frontal</t>
  </si>
  <si>
    <t>Batería 12V155Ah borne Frontal</t>
  </si>
  <si>
    <t>Batería 12V170Ah Borne Frontal</t>
  </si>
  <si>
    <t>Batería 2V1200Ah 100LF25</t>
  </si>
  <si>
    <t>Batería 2V800Ah 100LF17</t>
  </si>
  <si>
    <t>Batería 48V 77Ah SAFT EVOLION ION LITIO</t>
  </si>
  <si>
    <t>Banco de Baterias Absolyte 100G33 de 48 V. 1600 Ah o equivalente</t>
  </si>
  <si>
    <t>Batería 12V190Ah Borne Frontal</t>
  </si>
  <si>
    <t>Batería 12V200Ah Borne Frontal</t>
  </si>
  <si>
    <t>Batería 12V9Ah Borne Normal</t>
  </si>
  <si>
    <t>Batería 12V26Ah Borne Normal</t>
  </si>
  <si>
    <t>Batería 12V33Ah Borne Normal</t>
  </si>
  <si>
    <t>Batería 12V55Ah Borne Normal</t>
  </si>
  <si>
    <t>Batería 12V100Ah Borne Normal</t>
  </si>
  <si>
    <t>Batería 12V150Ah Borne Normal</t>
  </si>
  <si>
    <t>Batería 2V1600Ah 100LF33</t>
  </si>
  <si>
    <t>Batería 2V1000Ah 100LF21</t>
  </si>
  <si>
    <t xml:space="preserve">Baterías UPS </t>
  </si>
  <si>
    <t>Batería nueva o adicional  Solo instalación</t>
  </si>
  <si>
    <t xml:space="preserve">Batería provisoria  </t>
  </si>
  <si>
    <t xml:space="preserve">Mediciones paramétricas relevantes (voltaje, temperatura, sin conductancia, etc.) </t>
  </si>
  <si>
    <t>8-19 Baterías 12V (9-55Ah) o capacidad superior- En UPS</t>
  </si>
  <si>
    <t>20-40 Baterías 12V (9-55Ah) o capacidad superior- En UPS</t>
  </si>
  <si>
    <t>20-40 Baterías 12V (100-150Ah) o capacidad superior- En UPS</t>
  </si>
  <si>
    <t>Retiro de Equipamiento (UPS. 20 Baterías)</t>
  </si>
  <si>
    <t>Equipos de Precisión Tipo Split (Enfriados por gas)</t>
  </si>
  <si>
    <t>Aconditermic</t>
  </si>
  <si>
    <t xml:space="preserve">Medición de aislación y barniz de bobinado motor </t>
  </si>
  <si>
    <t>Instaplan</t>
  </si>
  <si>
    <t>Suministro de Correa  modelo M15162 para Equipo Stulz CSU 852 A</t>
  </si>
  <si>
    <t>Suministro de Cilindro modelo M24380 para Equipo Stulz CSU 852 A</t>
  </si>
  <si>
    <t>Suministro de Filtro modelo M53637-I para Equipo Stulz CSU 852 A</t>
  </si>
  <si>
    <t>Suministro de Filtro modelo M55211-I para Equipo Stulz CSU 852 A</t>
  </si>
  <si>
    <t>Suministro de Filtro modelo M55214-I para Equipo Stulz CSU 852 A</t>
  </si>
  <si>
    <t>Suministro de Filtro modelo M55220-I para Equipo Stulz CSU 852 A</t>
  </si>
  <si>
    <t>Suministro de Correa  modelo M30570 para Equipo Stulz CCU 171 A</t>
  </si>
  <si>
    <t>Suministro de Cilindro modelo M35775 para Equipo Stulz CCU 171 A</t>
  </si>
  <si>
    <t>Suministro de Filtro modelo M11733 para Equipo Stulz CCU 171 A</t>
  </si>
  <si>
    <t>Suministro de Correa  modelo M15162 para Equipo Stulz CSU 1052 A</t>
  </si>
  <si>
    <t>Suministro de Cilindro modelo M24380 para Equipo Stulz CSU 1052 A</t>
  </si>
  <si>
    <t>Suministro de Filtro modelo M53637-I para Equipo Stulz CSU 1052 A</t>
  </si>
  <si>
    <t>Suministro de Filtro modelo M55211-I para Equipo Stulz CSU 1052 A</t>
  </si>
  <si>
    <t>Suministro de Filtro modelo M55214-I para Equipo Stulz CSU 1052 A</t>
  </si>
  <si>
    <t>Suministro de Correa  modelo M04944 para Equipo Stulz CSU 542 A</t>
  </si>
  <si>
    <t>Suministro de Cilindro modelo M24188 para Equipo Stulz CSU 542 A</t>
  </si>
  <si>
    <t>Suministro de Filtro modelo M53637-I para Equipo Stulz CSU 542 A</t>
  </si>
  <si>
    <t>Suministro de Filtro modelo M55211-I para Equipo Stulz CSU 542 A</t>
  </si>
  <si>
    <t>Suministro de Filtro modelo M55224-I para Equipo Stulz CSU 542 A</t>
  </si>
  <si>
    <t>Suministro de Correa  modelo M30570 para Equipo Stulz CCU 201 A</t>
  </si>
  <si>
    <t>Suministro de Cilindro modelo M24186 para Equipo Stulz CCU 201 A</t>
  </si>
  <si>
    <t>Suministro de Filtro modelo M11733 para Equipo Stulz CCU 201 A</t>
  </si>
  <si>
    <t>Suministro de Correa  modelo M29151 para Equipo Stulz CSD 852 A</t>
  </si>
  <si>
    <t>Suministro de Cilindro modelo M46688 para Equipo Stulz CSD 852 A</t>
  </si>
  <si>
    <t>Suministro de Filtro modelo M53630-I para Equipo Stulz CSD 852 A</t>
  </si>
  <si>
    <t>Suministro de Filtro modelo M56832-I para Equipo Stulz CSD 852 A</t>
  </si>
  <si>
    <t>Suministro de Cilindro modelo M35771 para Equipo Stulz CCU 121 A</t>
  </si>
  <si>
    <t>Suministro de Filtro modelo M15703 para Equipo Stulz CCU 121 A</t>
  </si>
  <si>
    <t>Suministro de Correa  modelo M04551 para Equipo Stulz CSD 351 A</t>
  </si>
  <si>
    <t>Suministro de Cilindro modelo M24188 para Equipo Stulz CSD 351 A</t>
  </si>
  <si>
    <t>Suministro de Filtro modelo M53630-I para Equipo Stulz CSD 351 A</t>
  </si>
  <si>
    <t>Suministro de Filtro modelo M55215-I para Equipo Stulz CSD 351 A</t>
  </si>
  <si>
    <t>Suministro de Correa  modelo M30581 para Equipo Stulz CSD 301 A</t>
  </si>
  <si>
    <t>Suministro de Cilindro modelo M24188 para Equipo Stulz CSD 301 A</t>
  </si>
  <si>
    <t>Suministro de Filtro modelo M53630-I para Equipo Stulz CSD 301 A</t>
  </si>
  <si>
    <t>Suministro de Filtro modelo M55215-I para Equipo Stulz CSD 301 A</t>
  </si>
  <si>
    <t>Suministro de Correa modelo BX40 Para equipo Liebert</t>
  </si>
  <si>
    <t>Suministro de Filtro modelo MLIEBERT-I Para equipo Liebert</t>
  </si>
  <si>
    <t>Suministro de Cilindro modelo M26596 para Equipo Stulz ASU 261 A</t>
  </si>
  <si>
    <t>Suministro de Filtro modelo M66516-I para Equipo Stulz ASU 261 A</t>
  </si>
  <si>
    <t>Suministro de Cilindro modelo M26596 para Equipo Stulz CPU 451 A</t>
  </si>
  <si>
    <t>Suministro de Filtro modelo M66892-I para Equipo Stulz CPU 451 A</t>
  </si>
  <si>
    <t>Suministro de Filtro modelo M66894-I para Equipo Stulz CPU 451 A</t>
  </si>
  <si>
    <t>Suministro de Filtro modelo M66896-I para Equipo Stulz CPU 451 A</t>
  </si>
  <si>
    <t>Suministro de Cilindro modelo M26598 para Equipo Stulz CPU 1062 A</t>
  </si>
  <si>
    <t>Suministro de Filtro modelo M66891-I para Equipo Stulz CPU 1062 A</t>
  </si>
  <si>
    <t>Suministro de Filtro modelo M66892-I para Equipo Stulz CPU 1062 A</t>
  </si>
  <si>
    <t>Suministro de Filtro modelo M66893-I para Equipo Stulz CPU 1062 A</t>
  </si>
  <si>
    <t>Suministro de Filtro modelo M66896-I para Equipo Stulz CPU 1062 A</t>
  </si>
  <si>
    <t>Suministro de Cilindro modelo M26598 para Equipo Stulz CPD 862 A</t>
  </si>
  <si>
    <t>Suministro de Filtro modelo M61400-I para Equipo Stulz CPD 862 A</t>
  </si>
  <si>
    <t>Suministro de Filtro modelo M61401-I para Equipo Stulz CPD 862 A</t>
  </si>
  <si>
    <t>Suministro de Correa  modelo M30574 para Equipo Stulz MRD 522 G</t>
  </si>
  <si>
    <t>Suministro de Cilindro modelo M35770 para Equipo Stulz MRD 522 G</t>
  </si>
  <si>
    <t>Suministro de Filtro modelo M12710-I para Equipo Stulz MRD 522 G</t>
  </si>
  <si>
    <t>CS Energy</t>
  </si>
  <si>
    <t>suministro presostato de alta o baja</t>
  </si>
  <si>
    <t>Equipos Tipo Mochila</t>
  </si>
  <si>
    <t xml:space="preserve">Suministro atril metálico para instalación equipo </t>
  </si>
  <si>
    <t>Equipos Tipo Split</t>
  </si>
  <si>
    <t xml:space="preserve">Suministro soporte metálico para instalación equipo </t>
  </si>
  <si>
    <t>Termostato Basico Damper</t>
  </si>
  <si>
    <t>Bomba De Condensado Sauermann</t>
  </si>
  <si>
    <t>Bomba De Condensado Diversitech</t>
  </si>
  <si>
    <t>Presostato Baja Presion</t>
  </si>
  <si>
    <t>Aceite 3Gs / 4 Litros</t>
  </si>
  <si>
    <t>LTS</t>
  </si>
  <si>
    <t>Suministro de Equipo de Aire Acondicionado R22 9000 btu  (split)/ Bomba de Condensado / 5 mt cañerias</t>
  </si>
  <si>
    <t xml:space="preserve">Suministro de Equipo de Aire Acondicionado R22 12000 btu  (split)/ Bomba de Condensado / 5 mt cañerias </t>
  </si>
  <si>
    <t xml:space="preserve">Suministro Equipo de Aire Acondicionado R22 18000 btu  (split)/ Bomba de Condensado / 5 mt cañerias </t>
  </si>
  <si>
    <t xml:space="preserve">Suministro Equipo de Aire Acondicionado R22 24000 btu  split muro / Bomba de Condensado / 5 mt cañerias </t>
  </si>
  <si>
    <t>Suministro Equipo de Aire Acondicionado R410 36000 Btu Cassette/ Bomba de Condensado / 5 mt cañerias</t>
  </si>
  <si>
    <t xml:space="preserve">Suministro de Equipo de Aire Acondicionado R410 48000 btu  Cassette/ Bomba de Condensado / 5 mt cañerias </t>
  </si>
  <si>
    <t xml:space="preserve">Suministro de Equipos de Aire Acondicionado R410 24000 btu  Cassette/ Bomba de Condensado / 5 mt cañerias </t>
  </si>
  <si>
    <t>Suministro de Liquido refrigerante R410</t>
  </si>
  <si>
    <t>KL</t>
  </si>
  <si>
    <t>Suministro de Liquido refrigerante R22</t>
  </si>
  <si>
    <t>Suministro Equipos AA de tipo SPLIT 9000 BTU</t>
  </si>
  <si>
    <t>Suministro Equipos AA de tipoSPLIT 12000 BTU</t>
  </si>
  <si>
    <t>Suministro Equipos AA de tipoSPLIT 24000 BTU</t>
  </si>
  <si>
    <t>Suministro Equipos AA de tipoSPLIT 36000 BTU</t>
  </si>
  <si>
    <t>Suministro Equipos AA de tipoSPLIT 48000 BTU</t>
  </si>
  <si>
    <t>Suministro Equipos AA de tipoSPLIT 60000 BTU</t>
  </si>
  <si>
    <t>Equipos Tipo Ventana</t>
  </si>
  <si>
    <t>Estanques Diarios y de Reserva GG</t>
  </si>
  <si>
    <t>Ingenieria Y&amp;S</t>
  </si>
  <si>
    <t xml:space="preserve">Alambrado y canalizaciones para circuito de control nivel remoto  </t>
  </si>
  <si>
    <t>MT</t>
  </si>
  <si>
    <t>Diseño Suministro Radier Grupo Electrogeno Y Estructur</t>
  </si>
  <si>
    <t>Diseño Suministro Estructura Metálica Para Paneles Y Te</t>
  </si>
  <si>
    <t>Suministro De Techo Para Grupo Electrógeno.</t>
  </si>
  <si>
    <t>Suministro De Paneles Alrededor Del Grupo Electrógeno.</t>
  </si>
  <si>
    <t>Suministro Y Contrucción Zanja Para Canalización Subterranea De Duc</t>
  </si>
  <si>
    <t>Suministro De Cámara Tipo B De 600X600X800 [Mm] De Alba</t>
  </si>
  <si>
    <t>Suministro Estanque Soterrado De Petróleo De 600 [L], Certificado</t>
  </si>
  <si>
    <t>Suministro Estanque Soterrado De Petróleo De 1.000 [L], Certificado</t>
  </si>
  <si>
    <t>Suministro Estanque Soterrado De Petróleo De 2.000 [L], Certificado</t>
  </si>
  <si>
    <t>Suministro Estanque Sub Base De Petróleo De 600 [L], Certificado</t>
  </si>
  <si>
    <t>Suministro Estanque Sub Base De Petróleo De 1.000 [L], Certificado</t>
  </si>
  <si>
    <t>Suministro Estanque Sub Base De Petróleo De 2.000 [L], Certificado</t>
  </si>
  <si>
    <t>Suministro Estanque Sub Base De Petróleo De 3.000 [L], Certificado</t>
  </si>
  <si>
    <t>Suministro Estanque Sub Base De Petróleo De 4.000 [L], Certificado</t>
  </si>
  <si>
    <t>Suministro petril antiderrame para estanque Sub Base .600 (L)</t>
  </si>
  <si>
    <t>Suministro petril antiderrame para estanque  Sub Base a piso.1000 (L)</t>
  </si>
  <si>
    <t>Suministro petril antiderrame para estanque  Sub Base a piso.2000 (L)</t>
  </si>
  <si>
    <t>Suministro petril antiderrame para estanque  Sub Base a piso.3000 (L)</t>
  </si>
  <si>
    <t>Suministro petril antiderrame para estanque  Sub Base a piso.4000 (L)</t>
  </si>
  <si>
    <t>Suministro Soporte Para Tta</t>
  </si>
  <si>
    <t>Grupo Electrógeno y TTA</t>
  </si>
  <si>
    <t>Enerfrost</t>
  </si>
  <si>
    <t xml:space="preserve">Prueba de carga con banco artificial </t>
  </si>
  <si>
    <t>Suministro de CTI 63 Amp</t>
  </si>
  <si>
    <t>Suministro de CTI 100 Amp</t>
  </si>
  <si>
    <t>Suministro de CTI 400 Amp</t>
  </si>
  <si>
    <t>Suministro de TTA 1000 Amp</t>
  </si>
  <si>
    <t>Arriendo por día de Grupo electrogeno de 3 KVA Monofásico</t>
  </si>
  <si>
    <t>DIA</t>
  </si>
  <si>
    <t>SEMANA</t>
  </si>
  <si>
    <t>Arriendo por día de Grupo electrogeno de 7 KVA Monofásico</t>
  </si>
  <si>
    <t>Arriendo por día de Grupo electrogeno de 10 KVA Monofásico</t>
  </si>
  <si>
    <t>Arriendo por día de Grupo electrogeno de 15 KVA Monofásico</t>
  </si>
  <si>
    <t>Arriendo por día de Grupo electrogeno de 20 KVA Trifásico</t>
  </si>
  <si>
    <t>Arriendo por día de Grupo electrogeno de 40 KVA Trifásico</t>
  </si>
  <si>
    <t>Arriendo por día de Grupo electrogeno de 60 KVA Trifásico</t>
  </si>
  <si>
    <t>Arriendo por día de Grupo electrogeno de 200 KVA Trifásico</t>
  </si>
  <si>
    <t>Arriendo por día de Grupo electrogeno de 300 KVA Trifásico</t>
  </si>
  <si>
    <t>Arriendo por día de Grupo electrogeno de 500 KVA Trifásico</t>
  </si>
  <si>
    <t>Arriendo por día de Grupo electrogeno de 7 KVA Monofásico -  Sin TTA</t>
  </si>
  <si>
    <t>Arriendo por día de Grupo electrogeno de 10 KVA Monofásico -  Sin TTA</t>
  </si>
  <si>
    <t>Arriendo por día de Grupo electrogeno de 15 KVA Monofásico -  Sin TTA</t>
  </si>
  <si>
    <t>Arriendo por día de Grupo electrogeno de 20 KVA Trifásico -  Sin TTA</t>
  </si>
  <si>
    <t>Arriendo por día de Grupo electrogeno de 40 KVA Trifásico -  Sin TTA</t>
  </si>
  <si>
    <t>Arriendo por día de Grupo electrogeno de 60 KVA Trifásico -  Sin TTA</t>
  </si>
  <si>
    <t>Arriendo por día de Grupo electrogeno de 200 KVA Trifásico -  Sin TTA</t>
  </si>
  <si>
    <t>Arriendo por día de Grupo electrogeno de 300 KVA Trifásico -  Sin TTA</t>
  </si>
  <si>
    <t>Arriendo por día de Grupo electrogeno de 500 KVA Trifásico -  Sin TTA</t>
  </si>
  <si>
    <t>Grupo Generador</t>
  </si>
  <si>
    <t>Batería de 200 Amperes.</t>
  </si>
  <si>
    <t>Batería de 120 Amperes.</t>
  </si>
  <si>
    <t xml:space="preserve">Batería de 100 Amperes </t>
  </si>
  <si>
    <t xml:space="preserve">Batería de 60 Amperes. </t>
  </si>
  <si>
    <t xml:space="preserve">Batería de 35 Amperes </t>
  </si>
  <si>
    <t>Calefactor de 1000 Watts. 220 Volts (Económico)</t>
  </si>
  <si>
    <t>Calefactor de 1200 Watts. 220 Volts. (Económico)</t>
  </si>
  <si>
    <t>Calefactor de 2000 Watts. 220 Volts (Económico)</t>
  </si>
  <si>
    <t>Pruebas con Carga Horario Nocturno</t>
  </si>
  <si>
    <t>Mantenedor electrónico de baterías de 12 y 24 Volts DC</t>
  </si>
  <si>
    <t>Cargador de batería automático 12 y de 24 Volts DC.</t>
  </si>
  <si>
    <t>Traslado y carga de conbustible hast 1000 litros</t>
  </si>
  <si>
    <t>Suministro de valvula de retención de combustible</t>
  </si>
  <si>
    <t>Suministro de panel de Grupos FGWilson marca Power Wizar</t>
  </si>
  <si>
    <t>Modificación de grupo Generador Trifasico a monofasico</t>
  </si>
  <si>
    <t>Líneas de B.T.</t>
  </si>
  <si>
    <t>Westfire</t>
  </si>
  <si>
    <t>c.a.g 1/2 - 6" subterránea (M)</t>
  </si>
  <si>
    <t>c.a.g 1/2 - 6" a la vista (M)</t>
  </si>
  <si>
    <t>t.m.f. 1/2 - 6 " a la vista (M)</t>
  </si>
  <si>
    <t>t.p.r. 1/2 - 6" subterránea (M)</t>
  </si>
  <si>
    <t>t.p.r. 1/2 - 6" a la vista (M)</t>
  </si>
  <si>
    <t xml:space="preserve">cámara de paso tránsito pesado - liviano </t>
  </si>
  <si>
    <t xml:space="preserve">medidor trifásico c/gabinete </t>
  </si>
  <si>
    <t xml:space="preserve">Tramitación SEC y empresa eléctrica </t>
  </si>
  <si>
    <t>Sistema de Energia en Corriente Contínua</t>
  </si>
  <si>
    <t xml:space="preserve">Configuración de la planta </t>
  </si>
  <si>
    <t xml:space="preserve"> bandeja y planta en rack (solo hasta 300 A)  sin suministro</t>
  </si>
  <si>
    <t>Instalación o retiro de rectificador  sin suministro</t>
  </si>
  <si>
    <t xml:space="preserve">Medición de puesta a tierra con informe </t>
  </si>
  <si>
    <t xml:space="preserve">Medición de nivel de ruido audible </t>
  </si>
  <si>
    <t>Fuente rectificadora -48 Vcc (hasta 10KW)</t>
  </si>
  <si>
    <t>Celdas 2V desde 800Ah - 1600Ah</t>
  </si>
  <si>
    <t>Retiro Plantas Rectificadoras hasta 24KW</t>
  </si>
  <si>
    <t>Suministro Gabinete Metálico Para 8 Baterías 12v 55Ah - para UPS</t>
  </si>
  <si>
    <t>Suministro Tubería Flexible 1 1/4"</t>
  </si>
  <si>
    <t>Gabinete indoor para 4 Bancos de Baterías 12V200Ah</t>
  </si>
  <si>
    <t>Gabinete outdoor para 4 Bancos de Baterías 12V200Ah</t>
  </si>
  <si>
    <t>RECTIF FLAT2 48V/3000W (96.5% EFF)</t>
  </si>
  <si>
    <t>RECTIF FLAT2 48V/3000W (94,5% EFF)</t>
  </si>
  <si>
    <t>RECTIF FLAT2 48V/2000W HE (96,4% EFF)</t>
  </si>
  <si>
    <t>RECTIF FLAT2 48V/2000W G2</t>
  </si>
  <si>
    <t>STS EATON 16amp.</t>
  </si>
  <si>
    <t>Sistema Detección de Incendio</t>
  </si>
  <si>
    <t>Batería 12V / 7A</t>
  </si>
  <si>
    <t>Baterías 12V 7,5 Ah</t>
  </si>
  <si>
    <t>Filtro Ensamblado VSP-005</t>
  </si>
  <si>
    <t>Baterias de 12V/1,2 Ah</t>
  </si>
  <si>
    <t>Mini Módulo KIDDE - modelo 70-407018-001.</t>
  </si>
  <si>
    <t>Panel Fenwal 6000</t>
  </si>
  <si>
    <t>Panel KIDDE Aries</t>
  </si>
  <si>
    <t>Sistema Vesda VLF-250</t>
  </si>
  <si>
    <t>Sistema aspiración ANALASER</t>
  </si>
  <si>
    <t>Tubería Vesda</t>
  </si>
  <si>
    <t>Cálculo ingeniería por nueva instalación Vesda</t>
  </si>
  <si>
    <t>Fuente 24VDC supervisada 100W MW DRC-100B</t>
  </si>
  <si>
    <t>Gabinete metálico 400 (ancho) x 300 (alto) x 200 mm (fondo)</t>
  </si>
  <si>
    <t>Sensor Humo PSD-7152 + base 6SB</t>
  </si>
  <si>
    <t>Panel Notifier NFS-320E-SP</t>
  </si>
  <si>
    <t>Sensor Fotoeléctrico FSP-851</t>
  </si>
  <si>
    <t>Base Sensores 4" B-501</t>
  </si>
  <si>
    <t>Luz estroboscópica con sonido P2RK</t>
  </si>
  <si>
    <t>Modulo de control FMM-1</t>
  </si>
  <si>
    <t>Modulo de descarga FCM-1 (A)</t>
  </si>
  <si>
    <t>Mini módulos de monitoreo FMM-101</t>
  </si>
  <si>
    <t>Módulos de Relé FRM-1</t>
  </si>
  <si>
    <t>Cable Belden 16 AWG listado para incendio</t>
  </si>
  <si>
    <t>Palanca de descarga con aborto incluido NBG-12LRA</t>
  </si>
  <si>
    <t>Retiro y traslado de cilindro para la recarga</t>
  </si>
  <si>
    <t>Sistemas de Energía de CA Ininterrumpida (UPS - Inversores)</t>
  </si>
  <si>
    <t>UPS e Inversor hasta 10 KVA</t>
  </si>
  <si>
    <t>UPS 15-40 KVA</t>
  </si>
  <si>
    <t>Equipo Inversor -48 Vcc (hasta 6KVA)</t>
  </si>
  <si>
    <t>Módulo Inversor CE+T Bravo 2000W (2,5KVA - N°Parte: 21730201)</t>
  </si>
  <si>
    <t>Módulo Inversor CE+T Bravo 1200W (1,5KVA - N°Parte: T331730201 )</t>
  </si>
  <si>
    <t>UPS Eaton DX 1000H - 1KVA</t>
  </si>
  <si>
    <t>UPS Eaton DX 2000H - 2KVA</t>
  </si>
  <si>
    <t>UPS Eaton DX 3000H - 3KVA</t>
  </si>
  <si>
    <t>Inversor Kehua TECH 5KVA</t>
  </si>
  <si>
    <t>UPS Eaton 9130 3 KVA R-T</t>
  </si>
  <si>
    <t>EBM Eaton 3 KVA R-T</t>
  </si>
  <si>
    <t>UPS 9355 Eaton 15 KVA Sin Baterías</t>
  </si>
  <si>
    <t>UPS 93E Eaton 40 KVA Sin Baterías</t>
  </si>
  <si>
    <t>Inversor Kehua TECH 3KVA</t>
  </si>
  <si>
    <t>Tableros DC y Varios Plantas rectificadoras</t>
  </si>
  <si>
    <t>TDCC a rack 19"</t>
  </si>
  <si>
    <t>TDCC Murales</t>
  </si>
  <si>
    <t>TDU Murales</t>
  </si>
  <si>
    <t>Equipo STS 16amp. (incluye cables de conexión)</t>
  </si>
  <si>
    <t>Reemp. de Fuse NH en FCC (hasta1600Amp) en producción s/pérdida de servicio</t>
  </si>
  <si>
    <t>Conexión Alimentadores en TDCC en producción sin pérdida de servicio</t>
  </si>
  <si>
    <t>Migraciones de Carga circuitos CC (hasta 10 Circuitos) sin corte de servicio</t>
  </si>
  <si>
    <t>Suministro Cable RVK 3AWG</t>
  </si>
  <si>
    <t>Suministro Cable RVK 500MCM</t>
  </si>
  <si>
    <t>Suministro Cable RVK 350MCM</t>
  </si>
  <si>
    <t>Suministro Cable RVK 250MCM</t>
  </si>
  <si>
    <t>Suministro Cable Superflex 1/0AWG</t>
  </si>
  <si>
    <t>Suministro  Cordón Superflex 3x14AWG</t>
  </si>
  <si>
    <t>Suministro  Cordón Superflex 3x10AWG</t>
  </si>
  <si>
    <t>Suministro Cordón Superflex 5x6AWG</t>
  </si>
  <si>
    <t>Suministro Cordón Superflex 3x4mm2</t>
  </si>
  <si>
    <t>Suministro Cable RV-K Superflex 1x6AWG</t>
  </si>
  <si>
    <t>Terminal Ojo 500MCM</t>
  </si>
  <si>
    <t>ABRAZO DE MAIPU</t>
  </si>
  <si>
    <t>AGUSTINAS ESPERANZA</t>
  </si>
  <si>
    <t>BATUCO ERRAZURIZ MZ 2</t>
  </si>
  <si>
    <t xml:space="preserve">BLINDADOS COQUIMBO </t>
  </si>
  <si>
    <t xml:space="preserve">CASAS VIEJAS </t>
  </si>
  <si>
    <t xml:space="preserve">CAMILO HENRIQUEZ </t>
  </si>
  <si>
    <t xml:space="preserve">CALERA DE TANGO </t>
  </si>
  <si>
    <t>CAL Y CANTO</t>
  </si>
  <si>
    <t xml:space="preserve">LAS NACIONES </t>
  </si>
  <si>
    <t xml:space="preserve">BUIN BERNARDINO </t>
  </si>
  <si>
    <t>BUENAVENTURA</t>
  </si>
  <si>
    <t>ARCAYA DE COLINA</t>
  </si>
  <si>
    <t>ARAUCARIA DE BUIN</t>
  </si>
  <si>
    <t xml:space="preserve">ANTONIO VARAS </t>
  </si>
  <si>
    <t xml:space="preserve">CERRO COLORADO </t>
  </si>
  <si>
    <t xml:space="preserve">CHICUREO FUNDO </t>
  </si>
  <si>
    <t xml:space="preserve">CHILOE </t>
  </si>
  <si>
    <t>CIUDAD DE LOS VALLES</t>
  </si>
  <si>
    <t>CIUDAD DEL ESTE</t>
  </si>
  <si>
    <t>CLUB HIPICO</t>
  </si>
  <si>
    <t>COLINA</t>
  </si>
  <si>
    <t>DEPARTAMENTAL</t>
  </si>
  <si>
    <t xml:space="preserve">PAJARITOS </t>
  </si>
  <si>
    <t>CONCHALI</t>
  </si>
  <si>
    <t>COPIHUE</t>
  </si>
  <si>
    <t>CURACAVI</t>
  </si>
  <si>
    <t>EL CORTIJO</t>
  </si>
  <si>
    <t>EL ARRAYAN</t>
  </si>
  <si>
    <t>EL CARMEN</t>
  </si>
  <si>
    <t>EL SALTO</t>
  </si>
  <si>
    <t>EL MONTE</t>
  </si>
  <si>
    <t>EL PEÑON</t>
  </si>
  <si>
    <t>ESTADIO NACIONAL</t>
  </si>
  <si>
    <t>ESTACION</t>
  </si>
  <si>
    <t>FLORIDA MUNDO</t>
  </si>
  <si>
    <t>FERROCARRIL</t>
  </si>
  <si>
    <t xml:space="preserve">INDEPENDENCIA </t>
  </si>
  <si>
    <t>GABRIELA MISTRAL</t>
  </si>
  <si>
    <t>HEROES DE MAIPU</t>
  </si>
  <si>
    <t>HUECHURABA</t>
  </si>
  <si>
    <t>ISLA DE MAIPO</t>
  </si>
  <si>
    <t>J. J. PEREZ</t>
  </si>
  <si>
    <t>HUERTOS FAMILIARES</t>
  </si>
  <si>
    <t>HOSPITAL DIEGO</t>
  </si>
  <si>
    <t>LA DEHESA</t>
  </si>
  <si>
    <t>LA PINTANA</t>
  </si>
  <si>
    <t>LA GRANJA</t>
  </si>
  <si>
    <t>LA PARVA</t>
  </si>
  <si>
    <t>LA PINCOYA</t>
  </si>
  <si>
    <t>LAGUNA</t>
  </si>
  <si>
    <t>LA REINA</t>
  </si>
  <si>
    <t>LA CISTERNA</t>
  </si>
  <si>
    <t>LA FLORIDA</t>
  </si>
  <si>
    <t>LAGUNA SUR</t>
  </si>
  <si>
    <t>LAS PALMAS</t>
  </si>
  <si>
    <t>LAS PIRCAS</t>
  </si>
  <si>
    <t>LAS CANTERAS</t>
  </si>
  <si>
    <t>LIRAY</t>
  </si>
  <si>
    <t>LAS REJAS</t>
  </si>
  <si>
    <t>LAS VERTIENTES</t>
  </si>
  <si>
    <t>LO ARCAYA</t>
  </si>
  <si>
    <t>LO BLANCO</t>
  </si>
  <si>
    <t>LO CAÑAS</t>
  </si>
  <si>
    <t>LO ERRAZURIZ</t>
  </si>
  <si>
    <t>LO HERMIDA</t>
  </si>
  <si>
    <t>LO PLAZA</t>
  </si>
  <si>
    <t>LO ESPEJO</t>
  </si>
  <si>
    <t>LO PINTO</t>
  </si>
  <si>
    <t xml:space="preserve">LONQUEN </t>
  </si>
  <si>
    <t>LORETO</t>
  </si>
  <si>
    <t>LOS AROMOS</t>
  </si>
  <si>
    <t>LOS HEROES</t>
  </si>
  <si>
    <t>LOS BENEDICTINOS</t>
  </si>
  <si>
    <t>LOS PARQUES DE MAIPU</t>
  </si>
  <si>
    <t xml:space="preserve">PORTEZUELO NORTE </t>
  </si>
  <si>
    <t xml:space="preserve">POLPAICO </t>
  </si>
  <si>
    <t xml:space="preserve">MELIPILLA </t>
  </si>
  <si>
    <t>LOS SILOS</t>
  </si>
  <si>
    <t>MAGISTER</t>
  </si>
  <si>
    <t>MAESTRANZA</t>
  </si>
  <si>
    <t>MACUL</t>
  </si>
  <si>
    <t xml:space="preserve">MANUEL MONTT </t>
  </si>
  <si>
    <t>PADRE HURTADO</t>
  </si>
  <si>
    <t>PANAMERICANA SUR</t>
  </si>
  <si>
    <t xml:space="preserve">PAINE </t>
  </si>
  <si>
    <t xml:space="preserve">PORTEZUELO SUR </t>
  </si>
  <si>
    <t xml:space="preserve">PEÑAFLOR </t>
  </si>
  <si>
    <t xml:space="preserve">PROVIDENCIA </t>
  </si>
  <si>
    <t>PUENTE ALTO</t>
  </si>
  <si>
    <t>QUILICURA</t>
  </si>
  <si>
    <t>RENCA</t>
  </si>
  <si>
    <t>RINCONADA DEL SALTO</t>
  </si>
  <si>
    <t>RIO MAIPO</t>
  </si>
  <si>
    <t>QUILICURA RAMON ROSALES</t>
  </si>
  <si>
    <t>SALESIANOS</t>
  </si>
  <si>
    <t>SAN CARLOS</t>
  </si>
  <si>
    <t xml:space="preserve">SAN BERNARDO </t>
  </si>
  <si>
    <t>SAN RAMON</t>
  </si>
  <si>
    <t xml:space="preserve">SANTA INES </t>
  </si>
  <si>
    <t>SAN JOSE DE MAIPO</t>
  </si>
  <si>
    <t>SAN FRANCISCO DE LAS CONDES</t>
  </si>
  <si>
    <t xml:space="preserve">SANTA MARIA DE PIRQUE </t>
  </si>
  <si>
    <t>SANTA ROSA DE LAMPA</t>
  </si>
  <si>
    <t>SANTA RITA DE PIRQUE</t>
  </si>
  <si>
    <t>SANTA ANA</t>
  </si>
  <si>
    <t xml:space="preserve">SANTA ISABEL </t>
  </si>
  <si>
    <t>TIL TIL</t>
  </si>
  <si>
    <t>TRINIDAD</t>
  </si>
  <si>
    <t>SANTA LUCIA</t>
  </si>
  <si>
    <t>TALAGANTE</t>
  </si>
  <si>
    <t>SANTA ROSA</t>
  </si>
  <si>
    <t>TEMPLO VOTIVO</t>
  </si>
  <si>
    <t>YUNGAY</t>
  </si>
  <si>
    <t>LA FERIA</t>
  </si>
  <si>
    <t>UNION AMERICANA</t>
  </si>
  <si>
    <t>VITACURA</t>
  </si>
  <si>
    <t>ANDRES BELLO</t>
  </si>
  <si>
    <t>ANDRES BELLO II</t>
  </si>
  <si>
    <t>MAIPÚ</t>
  </si>
  <si>
    <t>ARMARIO</t>
  </si>
  <si>
    <t xml:space="preserve">CAMINO DEL SOLAR </t>
  </si>
  <si>
    <t xml:space="preserve">CARMEN BAJO </t>
  </si>
  <si>
    <t>CERRO EL PLOMO</t>
  </si>
  <si>
    <t>CERRILLOS DE CURACAVI</t>
  </si>
  <si>
    <t>EDIFICIO CONSORCIO</t>
  </si>
  <si>
    <t>EDIFICIO BANMEDICA</t>
  </si>
  <si>
    <t>CHACRAS DE MARIN</t>
  </si>
  <si>
    <t>EDIFICIO EUROPA</t>
  </si>
  <si>
    <t>LARAPINTA ORIENTE</t>
  </si>
  <si>
    <t>DOÑA ISABEL</t>
  </si>
  <si>
    <t>LAS BRISAS DE CHICUREO</t>
  </si>
  <si>
    <t>EL CRUCERAL</t>
  </si>
  <si>
    <t>LAS CONDES</t>
  </si>
  <si>
    <t>HENDAYA</t>
  </si>
  <si>
    <t>EL BOSQUE II</t>
  </si>
  <si>
    <t>EL TROVADOR</t>
  </si>
  <si>
    <t>KENNEDY</t>
  </si>
  <si>
    <t>ALTO DE MACUL</t>
  </si>
  <si>
    <t>LA HACIENDA</t>
  </si>
  <si>
    <t>JARDIN DE LA VIÑA</t>
  </si>
  <si>
    <t>BLINDADOS</t>
  </si>
  <si>
    <t>LAS ARAUCARIAS</t>
  </si>
  <si>
    <t>LOMAS DE EYZAGUIRRE</t>
  </si>
  <si>
    <t>SAN LUIS</t>
  </si>
  <si>
    <t>TAJAMAR</t>
  </si>
  <si>
    <t>ZURICH</t>
  </si>
  <si>
    <t xml:space="preserve">VALDIVIA DE PAINE </t>
  </si>
  <si>
    <t>PARQUE ALMAGRO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</si>
</sst>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 &quot;$&quot;* #,##0_ ;_ &quot;$&quot;* \-#,##0_ ;_ &quot;$&quot;* &quot;-&quot;_ ;_ @_ "/>
    <numFmt numFmtId="41" formatCode="_ * #,##0_ ;_ * \-#,##0_ ;_ * &quot;-&quot;_ ;_ @_ "/>
    <numFmt numFmtId="164" formatCode="_ * #,##0.00_ ;_ * \-#,##0.00_ ;_ * &quot;-&quot;_ ;_ @_ 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Arial"/>
      <family val="2"/>
    </font>
    <font>
      <u/>
      <sz val="9.35"/>
      <color theme="10"/>
      <name val="Calibri"/>
      <family val="2"/>
    </font>
    <font>
      <b/>
      <sz val="10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1">
    <xf numFmtId="0" fontId="0" fillId="0" borderId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6" fillId="0" borderId="0"/>
    <xf numFmtId="0" fontId="7" fillId="0" borderId="0" applyNumberFormat="0" applyFill="0" applyBorder="0" applyAlignment="0" applyProtection="0">
      <alignment vertical="top"/>
      <protection locked="0"/>
    </xf>
    <xf numFmtId="0" fontId="6" fillId="0" borderId="0"/>
    <xf numFmtId="0" fontId="6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</cellStyleXfs>
  <cellXfs count="30">
    <xf numFmtId="0" fontId="0" fillId="0" borderId="0" xfId="0"/>
    <xf numFmtId="0" fontId="2" fillId="2" borderId="0" xfId="0" applyFont="1" applyFill="1" applyAlignment="1">
      <alignment horizontal="center"/>
    </xf>
    <xf numFmtId="0" fontId="2" fillId="2" borderId="0" xfId="0" applyFont="1" applyFill="1"/>
    <xf numFmtId="0" fontId="3" fillId="2" borderId="0" xfId="0" applyFont="1" applyFill="1" applyAlignment="1">
      <alignment horizontal="center"/>
    </xf>
    <xf numFmtId="42" fontId="2" fillId="2" borderId="0" xfId="1" applyFont="1" applyFill="1"/>
    <xf numFmtId="0" fontId="4" fillId="3" borderId="1" xfId="0" applyFont="1" applyFill="1" applyBorder="1" applyAlignment="1">
      <alignment horizontal="center"/>
    </xf>
    <xf numFmtId="42" fontId="5" fillId="2" borderId="1" xfId="0" applyNumberFormat="1" applyFont="1" applyFill="1" applyBorder="1"/>
    <xf numFmtId="164" fontId="2" fillId="2" borderId="0" xfId="2" applyNumberFormat="1" applyFont="1" applyFill="1"/>
    <xf numFmtId="42" fontId="3" fillId="2" borderId="0" xfId="1" applyFont="1" applyFill="1" applyAlignment="1">
      <alignment horizontal="center"/>
    </xf>
    <xf numFmtId="42" fontId="2" fillId="2" borderId="0" xfId="0" applyNumberFormat="1" applyFont="1" applyFill="1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/>
    <xf numFmtId="42" fontId="2" fillId="2" borderId="1" xfId="1" applyFont="1" applyFill="1" applyBorder="1"/>
    <xf numFmtId="42" fontId="2" fillId="2" borderId="1" xfId="0" applyNumberFormat="1" applyFont="1" applyFill="1" applyBorder="1"/>
    <xf numFmtId="0" fontId="3" fillId="4" borderId="2" xfId="0" applyFont="1" applyFill="1" applyBorder="1" applyAlignment="1">
      <alignment vertical="center"/>
    </xf>
    <xf numFmtId="0" fontId="3" fillId="4" borderId="3" xfId="0" applyFont="1" applyFill="1" applyBorder="1" applyAlignment="1">
      <alignment vertical="center"/>
    </xf>
    <xf numFmtId="0" fontId="3" fillId="4" borderId="4" xfId="0" applyFont="1" applyFill="1" applyBorder="1" applyAlignment="1">
      <alignment vertical="center"/>
    </xf>
    <xf numFmtId="0" fontId="3" fillId="4" borderId="5" xfId="0" applyFont="1" applyFill="1" applyBorder="1" applyAlignment="1">
      <alignment vertical="center"/>
    </xf>
    <xf numFmtId="0" fontId="8" fillId="5" borderId="1" xfId="0" applyFont="1" applyFill="1" applyBorder="1" applyAlignment="1">
      <alignment horizontal="center"/>
    </xf>
    <xf numFmtId="0" fontId="2" fillId="7" borderId="1" xfId="0" applyFont="1" applyFill="1" applyBorder="1"/>
    <xf numFmtId="0" fontId="2" fillId="7" borderId="1" xfId="0" applyFont="1" applyFill="1" applyBorder="1" applyAlignment="1">
      <alignment horizontal="center"/>
    </xf>
    <xf numFmtId="0" fontId="2" fillId="8" borderId="1" xfId="0" applyFont="1" applyFill="1" applyBorder="1"/>
    <xf numFmtId="0" fontId="2" fillId="8" borderId="1" xfId="0" applyFont="1" applyFill="1" applyBorder="1" applyAlignment="1">
      <alignment horizontal="center"/>
    </xf>
    <xf numFmtId="0" fontId="9" fillId="6" borderId="1" xfId="0" applyFont="1" applyFill="1" applyBorder="1" applyAlignment="1">
      <alignment horizontal="left" vertical="center"/>
    </xf>
    <xf numFmtId="0" fontId="0" fillId="2" borderId="1" xfId="0" applyFill="1" applyBorder="1" applyAlignment="1">
      <alignment horizontal="left"/>
    </xf>
    <xf numFmtId="0" fontId="0" fillId="0" borderId="1" xfId="0" applyBorder="1" applyAlignment="1">
      <alignment horizontal="left"/>
    </xf>
    <xf numFmtId="0" fontId="0" fillId="2" borderId="6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15" fontId="0" fillId="2" borderId="1" xfId="0" applyNumberFormat="1" applyFill="1" applyBorder="1" applyAlignment="1">
      <alignment horizontal="left"/>
    </xf>
    <xf numFmtId="0" fontId="0" fillId="0" borderId="1" xfId="0" applyBorder="1"/>
  </cellXfs>
  <cellStyles count="11">
    <cellStyle name="%" xfId="3" xr:uid="{00000000-0005-0000-0000-000000000000}"/>
    <cellStyle name="Hipervínculo 2" xfId="4" xr:uid="{00000000-0005-0000-0000-000001000000}"/>
    <cellStyle name="Millares [0]" xfId="2" builtinId="6"/>
    <cellStyle name="Moneda [0]" xfId="1" builtinId="7"/>
    <cellStyle name="Normal" xfId="0" builtinId="0"/>
    <cellStyle name="Normal 10" xfId="5" xr:uid="{00000000-0005-0000-0000-000005000000}"/>
    <cellStyle name="Normal 2" xfId="6" xr:uid="{00000000-0005-0000-0000-000006000000}"/>
    <cellStyle name="Normal 2 3" xfId="9" xr:uid="{00000000-0005-0000-0000-000007000000}"/>
    <cellStyle name="Normal 2 3 2" xfId="10" xr:uid="{00000000-0005-0000-0000-000008000000}"/>
    <cellStyle name="Normal 3 2" xfId="7" xr:uid="{00000000-0005-0000-0000-000009000000}"/>
    <cellStyle name="Porcentual 2" xfId="8" xr:uid="{00000000-0005-0000-0000-00000A000000}"/>
  </cellStyles>
  <dxfs count="1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428625</xdr:colOff>
      <xdr:row>1</xdr:row>
      <xdr:rowOff>47626</xdr:rowOff>
    </xdr:from>
    <xdr:to>
      <xdr:col>2</xdr:col>
      <xdr:colOff>1076325</xdr:colOff>
      <xdr:row>5</xdr:row>
      <xdr:rowOff>59266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95275" y="209551"/>
          <a:ext cx="1514475" cy="735540"/>
        </a:xfrm>
        <a:prstGeom prst="rect">
          <a:avLst/>
        </a:prstGeom>
        <a:noFill/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umentos\Cotizaciones\Mario%20Chang\Valorizacion%20de%20Suministros%20sistema%20hibrido%20-%20Mario%20Chang%20-%20Baterias%20170Ah_v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alorización Solar"/>
      <sheetName val="Valorización DC"/>
      <sheetName val="Lista de Precios EATON 2014"/>
      <sheetName val="Importaciones ICETEL 2013-2014"/>
      <sheetName val="Valores referenciales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72"/>
  <sheetViews>
    <sheetView tabSelected="1" topLeftCell="A115" workbookViewId="0">
      <selection activeCell="F154" sqref="F154"/>
    </sheetView>
  </sheetViews>
  <sheetFormatPr baseColWidth="10" defaultColWidth="11.44140625" defaultRowHeight="14.4" x14ac:dyDescent="0.3"/>
  <cols>
    <col min="1" max="1" width="68.109375" bestFit="1" customWidth="1"/>
    <col min="2" max="2" width="56.44140625" bestFit="1" customWidth="1"/>
  </cols>
  <sheetData>
    <row r="1" spans="1:2" x14ac:dyDescent="0.3">
      <c r="A1" s="23" t="s">
        <v>52</v>
      </c>
      <c r="B1" s="23" t="s">
        <v>53</v>
      </c>
    </row>
    <row r="2" spans="1:2" x14ac:dyDescent="0.3">
      <c r="A2" s="24" t="s">
        <v>575</v>
      </c>
      <c r="B2" s="25" t="s">
        <v>54</v>
      </c>
    </row>
    <row r="3" spans="1:2" x14ac:dyDescent="0.3">
      <c r="A3" s="24" t="s">
        <v>576</v>
      </c>
      <c r="B3" s="25" t="s">
        <v>55</v>
      </c>
    </row>
    <row r="4" spans="1:2" x14ac:dyDescent="0.3">
      <c r="A4" s="24" t="s">
        <v>588</v>
      </c>
      <c r="B4" s="25" t="s">
        <v>56</v>
      </c>
    </row>
    <row r="5" spans="1:2" x14ac:dyDescent="0.3">
      <c r="A5" s="24" t="s">
        <v>587</v>
      </c>
      <c r="B5" s="25" t="s">
        <v>57</v>
      </c>
    </row>
    <row r="6" spans="1:2" x14ac:dyDescent="0.3">
      <c r="A6" s="24" t="s">
        <v>586</v>
      </c>
      <c r="B6" s="25" t="s">
        <v>58</v>
      </c>
    </row>
    <row r="7" spans="1:2" x14ac:dyDescent="0.3">
      <c r="A7" s="24" t="s">
        <v>577</v>
      </c>
      <c r="B7" s="25" t="s">
        <v>59</v>
      </c>
    </row>
    <row r="8" spans="1:2" x14ac:dyDescent="0.3">
      <c r="A8" s="24" t="s">
        <v>578</v>
      </c>
      <c r="B8" s="25" t="s">
        <v>60</v>
      </c>
    </row>
    <row r="9" spans="1:2" x14ac:dyDescent="0.3">
      <c r="A9" s="24" t="s">
        <v>585</v>
      </c>
      <c r="B9" s="25" t="s">
        <v>61</v>
      </c>
    </row>
    <row r="10" spans="1:2" x14ac:dyDescent="0.3">
      <c r="A10" s="24" t="s">
        <v>584</v>
      </c>
      <c r="B10" s="25" t="s">
        <v>62</v>
      </c>
    </row>
    <row r="11" spans="1:2" x14ac:dyDescent="0.3">
      <c r="A11" s="24" t="s">
        <v>583</v>
      </c>
      <c r="B11" s="25" t="s">
        <v>63</v>
      </c>
    </row>
    <row r="12" spans="1:2" x14ac:dyDescent="0.3">
      <c r="A12" s="24" t="s">
        <v>582</v>
      </c>
      <c r="B12" s="25" t="s">
        <v>64</v>
      </c>
    </row>
    <row r="13" spans="1:2" x14ac:dyDescent="0.3">
      <c r="A13" s="24" t="s">
        <v>581</v>
      </c>
      <c r="B13" s="25" t="s">
        <v>65</v>
      </c>
    </row>
    <row r="14" spans="1:2" x14ac:dyDescent="0.3">
      <c r="A14" s="24" t="s">
        <v>580</v>
      </c>
      <c r="B14" s="25" t="s">
        <v>66</v>
      </c>
    </row>
    <row r="15" spans="1:2" x14ac:dyDescent="0.3">
      <c r="A15" s="24" t="s">
        <v>579</v>
      </c>
      <c r="B15" s="25" t="s">
        <v>67</v>
      </c>
    </row>
    <row r="16" spans="1:2" x14ac:dyDescent="0.3">
      <c r="A16" s="24" t="s">
        <v>589</v>
      </c>
      <c r="B16" s="25" t="s">
        <v>68</v>
      </c>
    </row>
    <row r="17" spans="1:2" x14ac:dyDescent="0.3">
      <c r="A17" s="24" t="s">
        <v>590</v>
      </c>
      <c r="B17" s="25" t="s">
        <v>69</v>
      </c>
    </row>
    <row r="18" spans="1:2" x14ac:dyDescent="0.3">
      <c r="A18" s="24" t="s">
        <v>591</v>
      </c>
      <c r="B18" s="25" t="s">
        <v>70</v>
      </c>
    </row>
    <row r="19" spans="1:2" x14ac:dyDescent="0.3">
      <c r="A19" s="24" t="s">
        <v>595</v>
      </c>
      <c r="B19" s="25" t="s">
        <v>71</v>
      </c>
    </row>
    <row r="20" spans="1:2" x14ac:dyDescent="0.3">
      <c r="A20" s="24" t="s">
        <v>592</v>
      </c>
      <c r="B20" s="25" t="s">
        <v>72</v>
      </c>
    </row>
    <row r="21" spans="1:2" x14ac:dyDescent="0.3">
      <c r="A21" s="24" t="s">
        <v>593</v>
      </c>
      <c r="B21" s="25" t="s">
        <v>73</v>
      </c>
    </row>
    <row r="22" spans="1:2" x14ac:dyDescent="0.3">
      <c r="A22" s="24" t="s">
        <v>594</v>
      </c>
      <c r="B22" s="25" t="s">
        <v>74</v>
      </c>
    </row>
    <row r="23" spans="1:2" x14ac:dyDescent="0.3">
      <c r="A23" s="24" t="s">
        <v>596</v>
      </c>
      <c r="B23" s="25" t="s">
        <v>75</v>
      </c>
    </row>
    <row r="24" spans="1:2" x14ac:dyDescent="0.3">
      <c r="A24" s="24" t="s">
        <v>598</v>
      </c>
      <c r="B24" s="25" t="s">
        <v>76</v>
      </c>
    </row>
    <row r="25" spans="1:2" x14ac:dyDescent="0.3">
      <c r="A25" s="24" t="s">
        <v>599</v>
      </c>
      <c r="B25" s="25" t="s">
        <v>77</v>
      </c>
    </row>
    <row r="26" spans="1:2" x14ac:dyDescent="0.3">
      <c r="A26" s="24" t="s">
        <v>600</v>
      </c>
      <c r="B26" s="25" t="s">
        <v>78</v>
      </c>
    </row>
    <row r="27" spans="1:2" x14ac:dyDescent="0.3">
      <c r="A27" s="24" t="s">
        <v>601</v>
      </c>
      <c r="B27" s="25" t="s">
        <v>79</v>
      </c>
    </row>
    <row r="28" spans="1:2" x14ac:dyDescent="0.3">
      <c r="A28" s="24" t="s">
        <v>602</v>
      </c>
      <c r="B28" s="25" t="s">
        <v>80</v>
      </c>
    </row>
    <row r="29" spans="1:2" x14ac:dyDescent="0.3">
      <c r="A29" s="24" t="s">
        <v>603</v>
      </c>
      <c r="B29" s="25" t="s">
        <v>81</v>
      </c>
    </row>
    <row r="30" spans="1:2" x14ac:dyDescent="0.3">
      <c r="A30" s="24" t="s">
        <v>604</v>
      </c>
      <c r="B30" s="25" t="s">
        <v>82</v>
      </c>
    </row>
    <row r="31" spans="1:2" x14ac:dyDescent="0.3">
      <c r="A31" s="24" t="s">
        <v>605</v>
      </c>
      <c r="B31" s="25" t="s">
        <v>83</v>
      </c>
    </row>
    <row r="32" spans="1:2" x14ac:dyDescent="0.3">
      <c r="A32" s="24" t="s">
        <v>606</v>
      </c>
      <c r="B32" s="25" t="s">
        <v>84</v>
      </c>
    </row>
    <row r="33" spans="1:2" x14ac:dyDescent="0.3">
      <c r="A33" s="24" t="s">
        <v>607</v>
      </c>
      <c r="B33" s="25" t="s">
        <v>85</v>
      </c>
    </row>
    <row r="34" spans="1:2" x14ac:dyDescent="0.3">
      <c r="A34" s="24" t="s">
        <v>608</v>
      </c>
      <c r="B34" s="25" t="s">
        <v>86</v>
      </c>
    </row>
    <row r="35" spans="1:2" x14ac:dyDescent="0.3">
      <c r="A35" s="24" t="s">
        <v>609</v>
      </c>
      <c r="B35" s="25" t="s">
        <v>87</v>
      </c>
    </row>
    <row r="36" spans="1:2" x14ac:dyDescent="0.3">
      <c r="A36" s="24" t="s">
        <v>610</v>
      </c>
      <c r="B36" s="25" t="s">
        <v>88</v>
      </c>
    </row>
    <row r="37" spans="1:2" x14ac:dyDescent="0.3">
      <c r="A37" s="24" t="s">
        <v>611</v>
      </c>
      <c r="B37" s="25" t="s">
        <v>89</v>
      </c>
    </row>
    <row r="38" spans="1:2" x14ac:dyDescent="0.3">
      <c r="A38" s="24" t="s">
        <v>612</v>
      </c>
      <c r="B38" s="25" t="s">
        <v>90</v>
      </c>
    </row>
    <row r="39" spans="1:2" x14ac:dyDescent="0.3">
      <c r="A39" s="24" t="s">
        <v>613</v>
      </c>
      <c r="B39" s="25" t="s">
        <v>91</v>
      </c>
    </row>
    <row r="40" spans="1:2" x14ac:dyDescent="0.3">
      <c r="A40" s="24" t="s">
        <v>618</v>
      </c>
      <c r="B40" s="25" t="s">
        <v>92</v>
      </c>
    </row>
    <row r="41" spans="1:2" x14ac:dyDescent="0.3">
      <c r="A41" s="24" t="s">
        <v>614</v>
      </c>
      <c r="B41" s="25" t="s">
        <v>93</v>
      </c>
    </row>
    <row r="42" spans="1:2" x14ac:dyDescent="0.3">
      <c r="A42" s="24" t="s">
        <v>617</v>
      </c>
      <c r="B42" s="25" t="s">
        <v>94</v>
      </c>
    </row>
    <row r="43" spans="1:2" x14ac:dyDescent="0.3">
      <c r="A43" s="24" t="s">
        <v>616</v>
      </c>
      <c r="B43" s="25" t="s">
        <v>95</v>
      </c>
    </row>
    <row r="44" spans="1:2" x14ac:dyDescent="0.3">
      <c r="A44" s="24" t="s">
        <v>615</v>
      </c>
      <c r="B44" s="25" t="s">
        <v>96</v>
      </c>
    </row>
    <row r="45" spans="1:2" x14ac:dyDescent="0.3">
      <c r="A45" s="24" t="s">
        <v>626</v>
      </c>
      <c r="B45" s="25" t="s">
        <v>97</v>
      </c>
    </row>
    <row r="46" spans="1:2" x14ac:dyDescent="0.3">
      <c r="A46" s="24" t="s">
        <v>627</v>
      </c>
      <c r="B46" s="25" t="s">
        <v>98</v>
      </c>
    </row>
    <row r="47" spans="1:2" x14ac:dyDescent="0.3">
      <c r="A47" s="24" t="s">
        <v>619</v>
      </c>
      <c r="B47" s="25" t="s">
        <v>99</v>
      </c>
    </row>
    <row r="48" spans="1:2" x14ac:dyDescent="0.3">
      <c r="A48" s="24" t="s">
        <v>621</v>
      </c>
      <c r="B48" s="25" t="s">
        <v>100</v>
      </c>
    </row>
    <row r="49" spans="1:2" x14ac:dyDescent="0.3">
      <c r="A49" s="24" t="s">
        <v>622</v>
      </c>
      <c r="B49" s="25" t="s">
        <v>101</v>
      </c>
    </row>
    <row r="50" spans="1:2" x14ac:dyDescent="0.3">
      <c r="A50" s="24" t="s">
        <v>623</v>
      </c>
      <c r="B50" s="25" t="s">
        <v>102</v>
      </c>
    </row>
    <row r="51" spans="1:2" x14ac:dyDescent="0.3">
      <c r="A51" s="24" t="s">
        <v>620</v>
      </c>
      <c r="B51" s="25" t="s">
        <v>103</v>
      </c>
    </row>
    <row r="52" spans="1:2" x14ac:dyDescent="0.3">
      <c r="A52" s="24" t="s">
        <v>625</v>
      </c>
      <c r="B52" s="25" t="s">
        <v>104</v>
      </c>
    </row>
    <row r="53" spans="1:2" x14ac:dyDescent="0.3">
      <c r="A53" s="24" t="s">
        <v>624</v>
      </c>
      <c r="B53" s="25" t="s">
        <v>105</v>
      </c>
    </row>
    <row r="54" spans="1:2" x14ac:dyDescent="0.3">
      <c r="A54" s="24" t="s">
        <v>628</v>
      </c>
      <c r="B54" s="25" t="s">
        <v>106</v>
      </c>
    </row>
    <row r="55" spans="1:2" x14ac:dyDescent="0.3">
      <c r="A55" s="24" t="s">
        <v>107</v>
      </c>
      <c r="B55" s="25" t="s">
        <v>108</v>
      </c>
    </row>
    <row r="56" spans="1:2" x14ac:dyDescent="0.3">
      <c r="A56" s="24" t="s">
        <v>631</v>
      </c>
      <c r="B56" s="25" t="s">
        <v>109</v>
      </c>
    </row>
    <row r="57" spans="1:2" x14ac:dyDescent="0.3">
      <c r="A57" s="24" t="s">
        <v>110</v>
      </c>
      <c r="B57" s="25" t="s">
        <v>111</v>
      </c>
    </row>
    <row r="58" spans="1:2" x14ac:dyDescent="0.3">
      <c r="A58" s="24" t="s">
        <v>629</v>
      </c>
      <c r="B58" s="25" t="s">
        <v>112</v>
      </c>
    </row>
    <row r="59" spans="1:2" x14ac:dyDescent="0.3">
      <c r="A59" s="24" t="s">
        <v>630</v>
      </c>
      <c r="B59" s="25" t="s">
        <v>113</v>
      </c>
    </row>
    <row r="60" spans="1:2" x14ac:dyDescent="0.3">
      <c r="A60" s="24" t="s">
        <v>633</v>
      </c>
      <c r="B60" s="25" t="s">
        <v>114</v>
      </c>
    </row>
    <row r="61" spans="1:2" x14ac:dyDescent="0.3">
      <c r="A61" s="24" t="s">
        <v>634</v>
      </c>
      <c r="B61" s="25" t="s">
        <v>115</v>
      </c>
    </row>
    <row r="62" spans="1:2" x14ac:dyDescent="0.3">
      <c r="A62" s="24" t="s">
        <v>632</v>
      </c>
      <c r="B62" s="25" t="s">
        <v>116</v>
      </c>
    </row>
    <row r="63" spans="1:2" x14ac:dyDescent="0.3">
      <c r="A63" s="24" t="s">
        <v>635</v>
      </c>
      <c r="B63" s="25" t="s">
        <v>58</v>
      </c>
    </row>
    <row r="64" spans="1:2" x14ac:dyDescent="0.3">
      <c r="A64" s="24" t="s">
        <v>117</v>
      </c>
      <c r="B64" s="25" t="s">
        <v>118</v>
      </c>
    </row>
    <row r="65" spans="1:2" x14ac:dyDescent="0.3">
      <c r="A65" s="24" t="s">
        <v>636</v>
      </c>
      <c r="B65" s="25" t="s">
        <v>119</v>
      </c>
    </row>
    <row r="66" spans="1:2" x14ac:dyDescent="0.3">
      <c r="A66" s="24" t="s">
        <v>637</v>
      </c>
      <c r="B66" s="25" t="s">
        <v>120</v>
      </c>
    </row>
    <row r="67" spans="1:2" x14ac:dyDescent="0.3">
      <c r="A67" s="24" t="s">
        <v>638</v>
      </c>
      <c r="B67" s="25" t="s">
        <v>121</v>
      </c>
    </row>
    <row r="68" spans="1:2" x14ac:dyDescent="0.3">
      <c r="A68" s="24" t="s">
        <v>641</v>
      </c>
      <c r="B68" s="25" t="s">
        <v>122</v>
      </c>
    </row>
    <row r="69" spans="1:2" x14ac:dyDescent="0.3">
      <c r="A69" s="24" t="s">
        <v>639</v>
      </c>
      <c r="B69" s="25" t="s">
        <v>123</v>
      </c>
    </row>
    <row r="70" spans="1:2" x14ac:dyDescent="0.3">
      <c r="A70" s="24" t="s">
        <v>642</v>
      </c>
      <c r="B70" s="25" t="s">
        <v>124</v>
      </c>
    </row>
    <row r="71" spans="1:2" x14ac:dyDescent="0.3">
      <c r="A71" s="24" t="s">
        <v>640</v>
      </c>
      <c r="B71" s="25" t="s">
        <v>125</v>
      </c>
    </row>
    <row r="72" spans="1:2" x14ac:dyDescent="0.3">
      <c r="A72" s="24" t="s">
        <v>643</v>
      </c>
      <c r="B72" s="25" t="s">
        <v>126</v>
      </c>
    </row>
    <row r="73" spans="1:2" x14ac:dyDescent="0.3">
      <c r="A73" s="24" t="s">
        <v>644</v>
      </c>
      <c r="B73" s="25" t="s">
        <v>127</v>
      </c>
    </row>
    <row r="74" spans="1:2" x14ac:dyDescent="0.3">
      <c r="A74" s="24" t="s">
        <v>645</v>
      </c>
      <c r="B74" s="25" t="s">
        <v>128</v>
      </c>
    </row>
    <row r="75" spans="1:2" x14ac:dyDescent="0.3">
      <c r="A75" s="24" t="s">
        <v>647</v>
      </c>
      <c r="B75" s="25" t="s">
        <v>129</v>
      </c>
    </row>
    <row r="76" spans="1:2" x14ac:dyDescent="0.3">
      <c r="A76" s="24" t="s">
        <v>646</v>
      </c>
      <c r="B76" s="25" t="s">
        <v>91</v>
      </c>
    </row>
    <row r="77" spans="1:2" x14ac:dyDescent="0.3">
      <c r="A77" s="24" t="s">
        <v>648</v>
      </c>
      <c r="B77" s="25" t="s">
        <v>130</v>
      </c>
    </row>
    <row r="78" spans="1:2" x14ac:dyDescent="0.3">
      <c r="A78" s="24" t="s">
        <v>652</v>
      </c>
      <c r="B78" s="25" t="s">
        <v>131</v>
      </c>
    </row>
    <row r="79" spans="1:2" x14ac:dyDescent="0.3">
      <c r="A79" s="24" t="s">
        <v>655</v>
      </c>
      <c r="B79" s="25" t="s">
        <v>132</v>
      </c>
    </row>
    <row r="80" spans="1:2" x14ac:dyDescent="0.3">
      <c r="A80" s="24" t="s">
        <v>654</v>
      </c>
      <c r="B80" s="25" t="s">
        <v>133</v>
      </c>
    </row>
    <row r="81" spans="1:2" x14ac:dyDescent="0.3">
      <c r="A81" s="24" t="s">
        <v>653</v>
      </c>
      <c r="B81" s="25" t="s">
        <v>134</v>
      </c>
    </row>
    <row r="82" spans="1:2" x14ac:dyDescent="0.3">
      <c r="A82" s="24" t="s">
        <v>135</v>
      </c>
      <c r="B82" s="25" t="s">
        <v>136</v>
      </c>
    </row>
    <row r="83" spans="1:2" x14ac:dyDescent="0.3">
      <c r="A83" s="24" t="s">
        <v>137</v>
      </c>
      <c r="B83" s="25" t="s">
        <v>138</v>
      </c>
    </row>
    <row r="84" spans="1:2" x14ac:dyDescent="0.3">
      <c r="A84" s="24" t="s">
        <v>656</v>
      </c>
      <c r="B84" s="25" t="s">
        <v>139</v>
      </c>
    </row>
    <row r="85" spans="1:2" x14ac:dyDescent="0.3">
      <c r="A85" s="24" t="s">
        <v>651</v>
      </c>
      <c r="B85" s="25" t="s">
        <v>140</v>
      </c>
    </row>
    <row r="86" spans="1:2" x14ac:dyDescent="0.3">
      <c r="A86" s="24" t="s">
        <v>141</v>
      </c>
      <c r="B86" s="25" t="s">
        <v>142</v>
      </c>
    </row>
    <row r="87" spans="1:2" x14ac:dyDescent="0.3">
      <c r="A87" s="24" t="s">
        <v>657</v>
      </c>
      <c r="B87" s="25" t="s">
        <v>143</v>
      </c>
    </row>
    <row r="88" spans="1:2" x14ac:dyDescent="0.3">
      <c r="A88" s="24" t="s">
        <v>659</v>
      </c>
      <c r="B88" s="25" t="s">
        <v>144</v>
      </c>
    </row>
    <row r="89" spans="1:2" x14ac:dyDescent="0.3">
      <c r="A89" s="24" t="s">
        <v>597</v>
      </c>
      <c r="B89" s="25" t="s">
        <v>145</v>
      </c>
    </row>
    <row r="90" spans="1:2" x14ac:dyDescent="0.3">
      <c r="A90" s="24" t="s">
        <v>658</v>
      </c>
      <c r="B90" s="25" t="s">
        <v>146</v>
      </c>
    </row>
    <row r="91" spans="1:2" x14ac:dyDescent="0.3">
      <c r="A91" s="24" t="s">
        <v>147</v>
      </c>
      <c r="B91" s="25" t="s">
        <v>148</v>
      </c>
    </row>
    <row r="92" spans="1:2" x14ac:dyDescent="0.3">
      <c r="A92" s="24" t="s">
        <v>149</v>
      </c>
      <c r="B92" s="25" t="s">
        <v>150</v>
      </c>
    </row>
    <row r="93" spans="1:2" x14ac:dyDescent="0.3">
      <c r="A93" s="24" t="s">
        <v>151</v>
      </c>
      <c r="B93" s="25" t="s">
        <v>152</v>
      </c>
    </row>
    <row r="94" spans="1:2" x14ac:dyDescent="0.3">
      <c r="A94" s="24" t="s">
        <v>153</v>
      </c>
      <c r="B94" s="25" t="s">
        <v>154</v>
      </c>
    </row>
    <row r="95" spans="1:2" x14ac:dyDescent="0.3">
      <c r="A95" s="24" t="s">
        <v>650</v>
      </c>
      <c r="B95" s="25" t="s">
        <v>155</v>
      </c>
    </row>
    <row r="96" spans="1:2" x14ac:dyDescent="0.3">
      <c r="A96" s="24" t="s">
        <v>649</v>
      </c>
      <c r="B96" s="25" t="s">
        <v>156</v>
      </c>
    </row>
    <row r="97" spans="1:2" x14ac:dyDescent="0.3">
      <c r="A97" s="24" t="s">
        <v>660</v>
      </c>
      <c r="B97" s="25" t="s">
        <v>157</v>
      </c>
    </row>
    <row r="98" spans="1:2" x14ac:dyDescent="0.3">
      <c r="A98" s="24" t="s">
        <v>661</v>
      </c>
      <c r="B98" s="25" t="s">
        <v>158</v>
      </c>
    </row>
    <row r="99" spans="1:2" x14ac:dyDescent="0.3">
      <c r="A99" s="24" t="s">
        <v>662</v>
      </c>
      <c r="B99" s="25" t="s">
        <v>159</v>
      </c>
    </row>
    <row r="100" spans="1:2" x14ac:dyDescent="0.3">
      <c r="A100" s="24" t="s">
        <v>663</v>
      </c>
      <c r="B100" s="25" t="s">
        <v>160</v>
      </c>
    </row>
    <row r="101" spans="1:2" x14ac:dyDescent="0.3">
      <c r="A101" s="24" t="s">
        <v>664</v>
      </c>
      <c r="B101" s="25" t="s">
        <v>161</v>
      </c>
    </row>
    <row r="102" spans="1:2" x14ac:dyDescent="0.3">
      <c r="A102" s="24" t="s">
        <v>665</v>
      </c>
      <c r="B102" s="25" t="s">
        <v>162</v>
      </c>
    </row>
    <row r="103" spans="1:2" x14ac:dyDescent="0.3">
      <c r="A103" s="24" t="s">
        <v>666</v>
      </c>
      <c r="B103" s="25" t="s">
        <v>163</v>
      </c>
    </row>
    <row r="104" spans="1:2" x14ac:dyDescent="0.3">
      <c r="A104" s="24" t="s">
        <v>667</v>
      </c>
      <c r="B104" s="25" t="s">
        <v>164</v>
      </c>
    </row>
    <row r="105" spans="1:2" x14ac:dyDescent="0.3">
      <c r="A105" s="24" t="s">
        <v>668</v>
      </c>
      <c r="B105" s="25" t="s">
        <v>165</v>
      </c>
    </row>
    <row r="106" spans="1:2" x14ac:dyDescent="0.3">
      <c r="A106" s="24" t="s">
        <v>669</v>
      </c>
      <c r="B106" s="25" t="s">
        <v>166</v>
      </c>
    </row>
    <row r="107" spans="1:2" x14ac:dyDescent="0.3">
      <c r="A107" s="24" t="s">
        <v>670</v>
      </c>
      <c r="B107" s="25" t="s">
        <v>167</v>
      </c>
    </row>
    <row r="108" spans="1:2" x14ac:dyDescent="0.3">
      <c r="A108" s="24" t="s">
        <v>671</v>
      </c>
      <c r="B108" s="25" t="s">
        <v>168</v>
      </c>
    </row>
    <row r="109" spans="1:2" x14ac:dyDescent="0.3">
      <c r="A109" s="24" t="s">
        <v>674</v>
      </c>
      <c r="B109" s="25" t="s">
        <v>169</v>
      </c>
    </row>
    <row r="110" spans="1:2" x14ac:dyDescent="0.3">
      <c r="A110" s="24" t="s">
        <v>672</v>
      </c>
      <c r="B110" s="25" t="s">
        <v>170</v>
      </c>
    </row>
    <row r="111" spans="1:2" x14ac:dyDescent="0.3">
      <c r="A111" s="24" t="s">
        <v>679</v>
      </c>
      <c r="B111" s="25" t="s">
        <v>171</v>
      </c>
    </row>
    <row r="112" spans="1:2" x14ac:dyDescent="0.3">
      <c r="A112" s="24" t="s">
        <v>673</v>
      </c>
      <c r="B112" s="25" t="s">
        <v>172</v>
      </c>
    </row>
    <row r="113" spans="1:2" x14ac:dyDescent="0.3">
      <c r="A113" s="24" t="s">
        <v>675</v>
      </c>
      <c r="B113" s="25" t="s">
        <v>173</v>
      </c>
    </row>
    <row r="114" spans="1:2" x14ac:dyDescent="0.3">
      <c r="A114" s="24" t="s">
        <v>680</v>
      </c>
      <c r="B114" s="25" t="s">
        <v>174</v>
      </c>
    </row>
    <row r="115" spans="1:2" x14ac:dyDescent="0.3">
      <c r="A115" s="24" t="s">
        <v>676</v>
      </c>
      <c r="B115" s="25" t="s">
        <v>175</v>
      </c>
    </row>
    <row r="116" spans="1:2" x14ac:dyDescent="0.3">
      <c r="A116" s="24" t="s">
        <v>678</v>
      </c>
      <c r="B116" s="25" t="s">
        <v>176</v>
      </c>
    </row>
    <row r="117" spans="1:2" x14ac:dyDescent="0.3">
      <c r="A117" s="24" t="s">
        <v>683</v>
      </c>
      <c r="B117" s="25" t="s">
        <v>177</v>
      </c>
    </row>
    <row r="118" spans="1:2" x14ac:dyDescent="0.3">
      <c r="A118" s="24" t="s">
        <v>677</v>
      </c>
      <c r="B118" s="25" t="s">
        <v>178</v>
      </c>
    </row>
    <row r="119" spans="1:2" x14ac:dyDescent="0.3">
      <c r="A119" s="24" t="s">
        <v>684</v>
      </c>
      <c r="B119" s="25" t="s">
        <v>179</v>
      </c>
    </row>
    <row r="120" spans="1:2" x14ac:dyDescent="0.3">
      <c r="A120" s="24" t="s">
        <v>685</v>
      </c>
      <c r="B120" s="25" t="s">
        <v>180</v>
      </c>
    </row>
    <row r="121" spans="1:2" x14ac:dyDescent="0.3">
      <c r="A121" s="24" t="s">
        <v>681</v>
      </c>
      <c r="B121" s="25" t="s">
        <v>181</v>
      </c>
    </row>
    <row r="122" spans="1:2" x14ac:dyDescent="0.3">
      <c r="A122" s="24" t="s">
        <v>686</v>
      </c>
      <c r="B122" s="25" t="s">
        <v>182</v>
      </c>
    </row>
    <row r="123" spans="1:2" x14ac:dyDescent="0.3">
      <c r="A123" s="24" t="s">
        <v>682</v>
      </c>
      <c r="B123" s="25" t="s">
        <v>183</v>
      </c>
    </row>
    <row r="124" spans="1:2" x14ac:dyDescent="0.3">
      <c r="A124" s="24" t="s">
        <v>687</v>
      </c>
      <c r="B124" s="25" t="s">
        <v>184</v>
      </c>
    </row>
    <row r="125" spans="1:2" x14ac:dyDescent="0.3">
      <c r="A125" s="24" t="s">
        <v>688</v>
      </c>
      <c r="B125" s="25" t="s">
        <v>185</v>
      </c>
    </row>
    <row r="126" spans="1:2" x14ac:dyDescent="0.3">
      <c r="A126" s="26" t="s">
        <v>689</v>
      </c>
      <c r="B126" s="25" t="s">
        <v>186</v>
      </c>
    </row>
    <row r="127" spans="1:2" x14ac:dyDescent="0.3">
      <c r="A127" s="24" t="s">
        <v>693</v>
      </c>
      <c r="B127" s="25" t="s">
        <v>187</v>
      </c>
    </row>
    <row r="128" spans="1:2" x14ac:dyDescent="0.3">
      <c r="A128" s="27" t="s">
        <v>690</v>
      </c>
      <c r="B128" s="25" t="s">
        <v>188</v>
      </c>
    </row>
    <row r="129" spans="1:2" x14ac:dyDescent="0.3">
      <c r="A129" s="24" t="s">
        <v>691</v>
      </c>
      <c r="B129" s="25" t="s">
        <v>189</v>
      </c>
    </row>
    <row r="130" spans="1:2" x14ac:dyDescent="0.3">
      <c r="A130" s="24" t="s">
        <v>692</v>
      </c>
      <c r="B130" s="25" t="s">
        <v>190</v>
      </c>
    </row>
    <row r="131" spans="1:2" x14ac:dyDescent="0.3">
      <c r="A131" s="24" t="s">
        <v>694</v>
      </c>
      <c r="B131" s="25" t="s">
        <v>191</v>
      </c>
    </row>
    <row r="132" spans="1:2" x14ac:dyDescent="0.3">
      <c r="A132" s="24" t="s">
        <v>695</v>
      </c>
      <c r="B132" s="25" t="s">
        <v>192</v>
      </c>
    </row>
    <row r="133" spans="1:2" x14ac:dyDescent="0.3">
      <c r="A133" s="24" t="s">
        <v>696</v>
      </c>
      <c r="B133" s="25" t="s">
        <v>193</v>
      </c>
    </row>
    <row r="134" spans="1:2" x14ac:dyDescent="0.3">
      <c r="A134" s="24" t="s">
        <v>698</v>
      </c>
      <c r="B134" s="25" t="s">
        <v>194</v>
      </c>
    </row>
    <row r="135" spans="1:2" x14ac:dyDescent="0.3">
      <c r="A135" s="24" t="s">
        <v>697</v>
      </c>
      <c r="B135" s="25" t="s">
        <v>195</v>
      </c>
    </row>
    <row r="136" spans="1:2" x14ac:dyDescent="0.3">
      <c r="A136" s="24" t="s">
        <v>701</v>
      </c>
      <c r="B136" s="25" t="s">
        <v>196</v>
      </c>
    </row>
    <row r="137" spans="1:2" x14ac:dyDescent="0.3">
      <c r="A137" s="24" t="s">
        <v>704</v>
      </c>
      <c r="B137" s="25" t="s">
        <v>197</v>
      </c>
    </row>
    <row r="138" spans="1:2" x14ac:dyDescent="0.3">
      <c r="A138" s="24" t="s">
        <v>700</v>
      </c>
      <c r="B138" s="25" t="s">
        <v>198</v>
      </c>
    </row>
    <row r="139" spans="1:2" x14ac:dyDescent="0.3">
      <c r="A139" s="24" t="s">
        <v>699</v>
      </c>
      <c r="B139" s="25" t="s">
        <v>199</v>
      </c>
    </row>
    <row r="140" spans="1:2" x14ac:dyDescent="0.3">
      <c r="A140" s="24" t="s">
        <v>702</v>
      </c>
      <c r="B140" s="25" t="s">
        <v>200</v>
      </c>
    </row>
    <row r="141" spans="1:2" x14ac:dyDescent="0.3">
      <c r="A141" s="24" t="s">
        <v>709</v>
      </c>
      <c r="B141" s="25" t="s">
        <v>201</v>
      </c>
    </row>
    <row r="142" spans="1:2" x14ac:dyDescent="0.3">
      <c r="A142" s="24" t="s">
        <v>710</v>
      </c>
      <c r="B142" s="25" t="s">
        <v>202</v>
      </c>
    </row>
    <row r="143" spans="1:2" x14ac:dyDescent="0.3">
      <c r="A143" s="24" t="s">
        <v>708</v>
      </c>
      <c r="B143" s="25" t="s">
        <v>203</v>
      </c>
    </row>
    <row r="144" spans="1:2" x14ac:dyDescent="0.3">
      <c r="A144" s="24" t="s">
        <v>711</v>
      </c>
      <c r="B144" s="25" t="s">
        <v>204</v>
      </c>
    </row>
    <row r="145" spans="1:2" x14ac:dyDescent="0.3">
      <c r="A145" s="24" t="s">
        <v>703</v>
      </c>
      <c r="B145" s="25" t="s">
        <v>205</v>
      </c>
    </row>
    <row r="146" spans="1:2" x14ac:dyDescent="0.3">
      <c r="A146" s="24" t="s">
        <v>705</v>
      </c>
      <c r="B146" s="25" t="s">
        <v>206</v>
      </c>
    </row>
    <row r="147" spans="1:2" x14ac:dyDescent="0.3">
      <c r="A147" s="24" t="s">
        <v>707</v>
      </c>
      <c r="B147" s="25" t="s">
        <v>207</v>
      </c>
    </row>
    <row r="148" spans="1:2" x14ac:dyDescent="0.3">
      <c r="A148" s="24" t="s">
        <v>712</v>
      </c>
      <c r="B148" s="25" t="s">
        <v>208</v>
      </c>
    </row>
    <row r="149" spans="1:2" x14ac:dyDescent="0.3">
      <c r="A149" s="24" t="s">
        <v>715</v>
      </c>
      <c r="B149" s="25" t="s">
        <v>60</v>
      </c>
    </row>
    <row r="150" spans="1:2" x14ac:dyDescent="0.3">
      <c r="A150" s="24" t="s">
        <v>706</v>
      </c>
      <c r="B150" s="25" t="s">
        <v>209</v>
      </c>
    </row>
    <row r="151" spans="1:2" x14ac:dyDescent="0.3">
      <c r="A151" s="28" t="s">
        <v>714</v>
      </c>
      <c r="B151" s="25" t="s">
        <v>210</v>
      </c>
    </row>
    <row r="152" spans="1:2" x14ac:dyDescent="0.3">
      <c r="A152" s="24" t="s">
        <v>713</v>
      </c>
      <c r="B152" s="25" t="s">
        <v>211</v>
      </c>
    </row>
    <row r="153" spans="1:2" x14ac:dyDescent="0.3">
      <c r="A153" s="24" t="s">
        <v>716</v>
      </c>
      <c r="B153" s="25" t="s">
        <v>57</v>
      </c>
    </row>
    <row r="154" spans="1:2" x14ac:dyDescent="0.3">
      <c r="A154" s="24" t="s">
        <v>717</v>
      </c>
      <c r="B154" s="25" t="s">
        <v>212</v>
      </c>
    </row>
    <row r="155" spans="1:2" x14ac:dyDescent="0.3">
      <c r="A155" s="24" t="s">
        <v>722</v>
      </c>
      <c r="B155" s="25" t="s">
        <v>148</v>
      </c>
    </row>
    <row r="156" spans="1:2" x14ac:dyDescent="0.3">
      <c r="A156" s="24" t="s">
        <v>213</v>
      </c>
      <c r="B156" s="25" t="s">
        <v>214</v>
      </c>
    </row>
    <row r="157" spans="1:2" x14ac:dyDescent="0.3">
      <c r="A157" s="24" t="s">
        <v>721</v>
      </c>
      <c r="B157" s="25" t="s">
        <v>215</v>
      </c>
    </row>
    <row r="158" spans="1:2" x14ac:dyDescent="0.3">
      <c r="A158" s="24" t="s">
        <v>718</v>
      </c>
      <c r="B158" s="25" t="s">
        <v>216</v>
      </c>
    </row>
    <row r="159" spans="1:2" x14ac:dyDescent="0.3">
      <c r="A159" s="24" t="s">
        <v>719</v>
      </c>
      <c r="B159" s="25" t="s">
        <v>217</v>
      </c>
    </row>
    <row r="160" spans="1:2" x14ac:dyDescent="0.3">
      <c r="A160" s="24" t="s">
        <v>720</v>
      </c>
      <c r="B160" s="25" t="s">
        <v>218</v>
      </c>
    </row>
    <row r="161" spans="1:2" x14ac:dyDescent="0.3">
      <c r="A161" s="24" t="s">
        <v>219</v>
      </c>
      <c r="B161" s="25" t="s">
        <v>220</v>
      </c>
    </row>
    <row r="162" spans="1:2" x14ac:dyDescent="0.3">
      <c r="A162" s="24" t="s">
        <v>221</v>
      </c>
      <c r="B162" s="25" t="s">
        <v>222</v>
      </c>
    </row>
    <row r="163" spans="1:2" x14ac:dyDescent="0.3">
      <c r="A163" s="24" t="s">
        <v>223</v>
      </c>
      <c r="B163" s="25" t="s">
        <v>224</v>
      </c>
    </row>
    <row r="164" spans="1:2" x14ac:dyDescent="0.3">
      <c r="A164" s="24" t="s">
        <v>225</v>
      </c>
      <c r="B164" s="25" t="s">
        <v>226</v>
      </c>
    </row>
    <row r="165" spans="1:2" x14ac:dyDescent="0.3">
      <c r="A165" s="24" t="s">
        <v>227</v>
      </c>
      <c r="B165" s="24" t="s">
        <v>228</v>
      </c>
    </row>
    <row r="166" spans="1:2" x14ac:dyDescent="0.3">
      <c r="A166" s="24" t="s">
        <v>229</v>
      </c>
      <c r="B166" s="24" t="s">
        <v>229</v>
      </c>
    </row>
    <row r="167" spans="1:2" x14ac:dyDescent="0.3">
      <c r="A167" s="24" t="s">
        <v>230</v>
      </c>
      <c r="B167" s="24" t="s">
        <v>231</v>
      </c>
    </row>
    <row r="168" spans="1:2" x14ac:dyDescent="0.3">
      <c r="A168" s="29" t="s">
        <v>232</v>
      </c>
      <c r="B168" s="29" t="s">
        <v>233</v>
      </c>
    </row>
    <row r="169" spans="1:2" x14ac:dyDescent="0.3">
      <c r="A169" s="29" t="s">
        <v>234</v>
      </c>
      <c r="B169" s="29" t="s">
        <v>235</v>
      </c>
    </row>
    <row r="170" spans="1:2" x14ac:dyDescent="0.3">
      <c r="A170" s="29" t="s">
        <v>236</v>
      </c>
      <c r="B170" s="29" t="s">
        <v>237</v>
      </c>
    </row>
    <row r="171" spans="1:2" x14ac:dyDescent="0.3">
      <c r="A171" s="29" t="s">
        <v>238</v>
      </c>
      <c r="B171" s="29" t="s">
        <v>239</v>
      </c>
    </row>
    <row r="172" spans="1:2" x14ac:dyDescent="0.3">
      <c r="A172" s="29" t="s">
        <v>240</v>
      </c>
      <c r="B172" s="29" t="s">
        <v>241</v>
      </c>
    </row>
  </sheetData>
  <autoFilter ref="A1:B167" xr:uid="{00000000-0009-0000-0000-000002000000}"/>
  <conditionalFormatting sqref="A1">
    <cfRule type="duplicateValues" dxfId="18" priority="8"/>
    <cfRule type="duplicateValues" dxfId="17" priority="9"/>
  </conditionalFormatting>
  <conditionalFormatting sqref="A3:A124">
    <cfRule type="duplicateValues" dxfId="16" priority="14"/>
    <cfRule type="duplicateValues" dxfId="15" priority="15"/>
  </conditionalFormatting>
  <conditionalFormatting sqref="A125">
    <cfRule type="duplicateValues" dxfId="14" priority="18"/>
    <cfRule type="duplicateValues" dxfId="13" priority="19"/>
  </conditionalFormatting>
  <conditionalFormatting sqref="A126:A127 A2">
    <cfRule type="duplicateValues" dxfId="12" priority="12"/>
    <cfRule type="duplicateValues" dxfId="11" priority="13"/>
  </conditionalFormatting>
  <conditionalFormatting sqref="A128">
    <cfRule type="duplicateValues" dxfId="10" priority="10"/>
    <cfRule type="duplicateValues" dxfId="9" priority="11"/>
  </conditionalFormatting>
  <conditionalFormatting sqref="B166">
    <cfRule type="duplicateValues" dxfId="8" priority="1"/>
    <cfRule type="duplicateValues" dxfId="7" priority="2"/>
    <cfRule type="duplicateValues" dxfId="6" priority="3"/>
  </conditionalFormatting>
  <conditionalFormatting sqref="A1:A167">
    <cfRule type="duplicateValues" dxfId="5" priority="20"/>
  </conditionalFormatting>
  <conditionalFormatting sqref="A129:A167">
    <cfRule type="duplicateValues" dxfId="4" priority="22"/>
    <cfRule type="duplicateValues" dxfId="3" priority="23"/>
  </conditionalFormatting>
  <conditionalFormatting sqref="B165">
    <cfRule type="duplicateValues" dxfId="2" priority="26"/>
    <cfRule type="duplicateValues" dxfId="1" priority="27"/>
    <cfRule type="duplicateValues" dxfId="0" priority="28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3">
    <tabColor theme="9" tint="0.59999389629810485"/>
  </sheetPr>
  <dimension ref="B1:N354"/>
  <sheetViews>
    <sheetView zoomScale="80" zoomScaleNormal="80" workbookViewId="0">
      <pane xSplit="7" ySplit="10" topLeftCell="H11" activePane="bottomRight" state="frozen"/>
      <selection pane="topRight" activeCell="H1" sqref="H1"/>
      <selection pane="bottomLeft" activeCell="A11" sqref="A11"/>
      <selection pane="bottomRight" activeCell="G48" sqref="G48"/>
    </sheetView>
  </sheetViews>
  <sheetFormatPr baseColWidth="10" defaultColWidth="11.44140625" defaultRowHeight="13.8" x14ac:dyDescent="0.3"/>
  <cols>
    <col min="1" max="1" width="4.44140625" style="2" customWidth="1"/>
    <col min="2" max="2" width="6.5546875" style="1" bestFit="1" customWidth="1"/>
    <col min="3" max="3" width="35.6640625" style="1" customWidth="1"/>
    <col min="4" max="4" width="12" style="1" bestFit="1" customWidth="1"/>
    <col min="5" max="5" width="16.6640625" style="1" customWidth="1"/>
    <col min="6" max="6" width="17" style="1" hidden="1" customWidth="1"/>
    <col min="7" max="7" width="76.6640625" style="2" bestFit="1" customWidth="1"/>
    <col min="8" max="8" width="17.5546875" style="1" bestFit="1" customWidth="1"/>
    <col min="9" max="9" width="13" style="1" bestFit="1" customWidth="1"/>
    <col min="10" max="10" width="13.88671875" style="2" bestFit="1" customWidth="1"/>
    <col min="11" max="11" width="16.6640625" style="2" customWidth="1"/>
    <col min="12" max="12" width="11.44140625" style="2"/>
    <col min="13" max="13" width="13.6640625" style="2" bestFit="1" customWidth="1"/>
    <col min="14" max="16384" width="11.44140625" style="2"/>
  </cols>
  <sheetData>
    <row r="1" spans="2:14" x14ac:dyDescent="0.3">
      <c r="H1" s="2"/>
      <c r="I1" s="3" t="s">
        <v>242</v>
      </c>
      <c r="J1" s="4"/>
    </row>
    <row r="2" spans="2:14" x14ac:dyDescent="0.3">
      <c r="H2" s="2"/>
      <c r="I2" s="3"/>
      <c r="J2" s="4"/>
    </row>
    <row r="3" spans="2:14" ht="15.6" x14ac:dyDescent="0.3">
      <c r="I3" s="2"/>
      <c r="K3" s="5" t="s">
        <v>5</v>
      </c>
    </row>
    <row r="4" spans="2:14" ht="15.6" x14ac:dyDescent="0.3">
      <c r="I4" s="2"/>
      <c r="K4" s="6">
        <f>SUM(K11:K354)</f>
        <v>0</v>
      </c>
    </row>
    <row r="5" spans="2:14" x14ac:dyDescent="0.3">
      <c r="I5" s="2"/>
      <c r="L5" s="7"/>
    </row>
    <row r="6" spans="2:14" x14ac:dyDescent="0.3">
      <c r="K6" s="8"/>
      <c r="L6" s="9"/>
    </row>
    <row r="8" spans="2:14" ht="15" customHeight="1" x14ac:dyDescent="0.3">
      <c r="B8" s="14"/>
      <c r="C8" s="14"/>
      <c r="D8" s="14"/>
      <c r="E8" s="14"/>
      <c r="F8" s="14"/>
      <c r="G8" s="14"/>
      <c r="H8" s="14"/>
      <c r="I8" s="14"/>
      <c r="J8" s="14"/>
      <c r="K8" s="15"/>
    </row>
    <row r="9" spans="2:14" x14ac:dyDescent="0.3">
      <c r="B9" s="16"/>
      <c r="C9" s="16"/>
      <c r="D9" s="16"/>
      <c r="E9" s="16"/>
      <c r="F9" s="16"/>
      <c r="G9" s="16"/>
      <c r="H9" s="16"/>
      <c r="I9" s="16"/>
      <c r="J9" s="16"/>
      <c r="K9" s="17"/>
    </row>
    <row r="10" spans="2:14" x14ac:dyDescent="0.3">
      <c r="B10" s="18" t="s">
        <v>1</v>
      </c>
      <c r="C10" s="18" t="s">
        <v>6</v>
      </c>
      <c r="D10" s="18" t="s">
        <v>7</v>
      </c>
      <c r="E10" s="18" t="s">
        <v>8</v>
      </c>
      <c r="F10" s="18" t="s">
        <v>9</v>
      </c>
      <c r="G10" s="18" t="s">
        <v>10</v>
      </c>
      <c r="H10" s="18" t="s">
        <v>11</v>
      </c>
      <c r="I10" s="18" t="s">
        <v>2</v>
      </c>
      <c r="J10" s="18" t="s">
        <v>12</v>
      </c>
      <c r="K10" s="18" t="s">
        <v>13</v>
      </c>
    </row>
    <row r="11" spans="2:14" x14ac:dyDescent="0.3">
      <c r="B11" s="10">
        <v>1</v>
      </c>
      <c r="C11" s="10" t="s">
        <v>243</v>
      </c>
      <c r="D11" s="10" t="s">
        <v>243</v>
      </c>
      <c r="E11" s="10" t="s">
        <v>244</v>
      </c>
      <c r="F11" s="10">
        <v>2507170</v>
      </c>
      <c r="G11" s="11" t="s">
        <v>245</v>
      </c>
      <c r="H11" s="10" t="s">
        <v>246</v>
      </c>
      <c r="I11" s="10"/>
      <c r="J11" s="12">
        <v>279</v>
      </c>
      <c r="K11" s="13">
        <f>J11*I11</f>
        <v>0</v>
      </c>
    </row>
    <row r="12" spans="2:14" x14ac:dyDescent="0.3">
      <c r="B12" s="10">
        <v>2</v>
      </c>
      <c r="C12" s="10" t="s">
        <v>243</v>
      </c>
      <c r="D12" s="10" t="s">
        <v>243</v>
      </c>
      <c r="E12" s="10" t="s">
        <v>244</v>
      </c>
      <c r="F12" s="10">
        <v>3053040</v>
      </c>
      <c r="G12" s="11" t="s">
        <v>247</v>
      </c>
      <c r="H12" s="10" t="s">
        <v>246</v>
      </c>
      <c r="I12" s="10"/>
      <c r="J12" s="12">
        <v>21001</v>
      </c>
      <c r="K12" s="13">
        <f t="shared" ref="K12:K79" si="0">J12*I12</f>
        <v>0</v>
      </c>
      <c r="M12" s="4"/>
      <c r="N12" s="9"/>
    </row>
    <row r="13" spans="2:14" x14ac:dyDescent="0.3">
      <c r="B13" s="10">
        <v>3</v>
      </c>
      <c r="C13" s="10" t="s">
        <v>243</v>
      </c>
      <c r="D13" s="10" t="s">
        <v>243</v>
      </c>
      <c r="E13" s="10" t="s">
        <v>244</v>
      </c>
      <c r="F13" s="10">
        <v>3053100</v>
      </c>
      <c r="G13" s="11" t="s">
        <v>248</v>
      </c>
      <c r="H13" s="10" t="s">
        <v>246</v>
      </c>
      <c r="I13" s="10"/>
      <c r="J13" s="12">
        <v>15077</v>
      </c>
      <c r="K13" s="13">
        <f t="shared" si="0"/>
        <v>0</v>
      </c>
    </row>
    <row r="14" spans="2:14" x14ac:dyDescent="0.3">
      <c r="B14" s="10">
        <v>4</v>
      </c>
      <c r="C14" s="10" t="s">
        <v>243</v>
      </c>
      <c r="D14" s="10" t="s">
        <v>243</v>
      </c>
      <c r="E14" s="10" t="s">
        <v>244</v>
      </c>
      <c r="F14" s="10">
        <v>4545560</v>
      </c>
      <c r="G14" s="11" t="s">
        <v>249</v>
      </c>
      <c r="H14" s="10" t="s">
        <v>246</v>
      </c>
      <c r="I14" s="10"/>
      <c r="J14" s="12">
        <v>51391</v>
      </c>
      <c r="K14" s="13">
        <f t="shared" si="0"/>
        <v>0</v>
      </c>
    </row>
    <row r="15" spans="2:14" x14ac:dyDescent="0.3">
      <c r="B15" s="10">
        <v>5</v>
      </c>
      <c r="C15" s="10" t="s">
        <v>243</v>
      </c>
      <c r="D15" s="10" t="s">
        <v>243</v>
      </c>
      <c r="E15" s="10" t="s">
        <v>244</v>
      </c>
      <c r="F15" s="10">
        <v>4571340</v>
      </c>
      <c r="G15" s="11" t="s">
        <v>250</v>
      </c>
      <c r="H15" s="10" t="s">
        <v>246</v>
      </c>
      <c r="I15" s="10"/>
      <c r="J15" s="12">
        <v>1668</v>
      </c>
      <c r="K15" s="13">
        <f t="shared" si="0"/>
        <v>0</v>
      </c>
    </row>
    <row r="16" spans="2:14" x14ac:dyDescent="0.3">
      <c r="B16" s="10">
        <v>6</v>
      </c>
      <c r="C16" s="10" t="s">
        <v>243</v>
      </c>
      <c r="D16" s="10" t="s">
        <v>243</v>
      </c>
      <c r="E16" s="10" t="s">
        <v>244</v>
      </c>
      <c r="F16" s="10">
        <v>4581265</v>
      </c>
      <c r="G16" s="11" t="s">
        <v>251</v>
      </c>
      <c r="H16" s="10" t="s">
        <v>246</v>
      </c>
      <c r="I16" s="10"/>
      <c r="J16" s="12">
        <v>1260</v>
      </c>
      <c r="K16" s="13">
        <f t="shared" si="0"/>
        <v>0</v>
      </c>
    </row>
    <row r="17" spans="2:11" x14ac:dyDescent="0.3">
      <c r="B17" s="10">
        <v>7</v>
      </c>
      <c r="C17" s="10" t="s">
        <v>243</v>
      </c>
      <c r="D17" s="10" t="s">
        <v>243</v>
      </c>
      <c r="E17" s="10" t="s">
        <v>244</v>
      </c>
      <c r="F17" s="10">
        <v>4581295</v>
      </c>
      <c r="G17" s="11" t="s">
        <v>252</v>
      </c>
      <c r="H17" s="10" t="s">
        <v>246</v>
      </c>
      <c r="I17" s="10"/>
      <c r="J17" s="12">
        <v>1356</v>
      </c>
      <c r="K17" s="13">
        <f t="shared" si="0"/>
        <v>0</v>
      </c>
    </row>
    <row r="18" spans="2:11" x14ac:dyDescent="0.3">
      <c r="B18" s="10">
        <v>8</v>
      </c>
      <c r="C18" s="10" t="s">
        <v>243</v>
      </c>
      <c r="D18" s="10" t="s">
        <v>243</v>
      </c>
      <c r="E18" s="10" t="s">
        <v>244</v>
      </c>
      <c r="F18" s="10">
        <v>4581315</v>
      </c>
      <c r="G18" s="11" t="s">
        <v>253</v>
      </c>
      <c r="H18" s="10" t="s">
        <v>246</v>
      </c>
      <c r="I18" s="10"/>
      <c r="J18" s="12">
        <v>1356</v>
      </c>
      <c r="K18" s="13">
        <f t="shared" si="0"/>
        <v>0</v>
      </c>
    </row>
    <row r="19" spans="2:11" x14ac:dyDescent="0.3">
      <c r="B19" s="10">
        <v>9</v>
      </c>
      <c r="C19" s="10" t="s">
        <v>243</v>
      </c>
      <c r="D19" s="10" t="s">
        <v>243</v>
      </c>
      <c r="E19" s="10" t="s">
        <v>244</v>
      </c>
      <c r="F19" s="10">
        <v>4581385</v>
      </c>
      <c r="G19" s="11" t="s">
        <v>254</v>
      </c>
      <c r="H19" s="10" t="s">
        <v>246</v>
      </c>
      <c r="I19" s="10"/>
      <c r="J19" s="12">
        <v>2378</v>
      </c>
      <c r="K19" s="13">
        <f t="shared" si="0"/>
        <v>0</v>
      </c>
    </row>
    <row r="20" spans="2:11" x14ac:dyDescent="0.3">
      <c r="B20" s="10">
        <v>10</v>
      </c>
      <c r="C20" s="10" t="s">
        <v>243</v>
      </c>
      <c r="D20" s="10" t="s">
        <v>243</v>
      </c>
      <c r="E20" s="10" t="s">
        <v>244</v>
      </c>
      <c r="F20" s="10">
        <v>4671430</v>
      </c>
      <c r="G20" s="11" t="s">
        <v>255</v>
      </c>
      <c r="H20" s="10" t="s">
        <v>246</v>
      </c>
      <c r="I20" s="10"/>
      <c r="J20" s="12">
        <v>12836</v>
      </c>
      <c r="K20" s="13">
        <f t="shared" si="0"/>
        <v>0</v>
      </c>
    </row>
    <row r="21" spans="2:11" x14ac:dyDescent="0.3">
      <c r="B21" s="10">
        <v>11</v>
      </c>
      <c r="C21" s="10" t="s">
        <v>243</v>
      </c>
      <c r="D21" s="10" t="s">
        <v>243</v>
      </c>
      <c r="E21" s="10" t="s">
        <v>244</v>
      </c>
      <c r="F21" s="10">
        <v>4671435</v>
      </c>
      <c r="G21" s="11" t="s">
        <v>256</v>
      </c>
      <c r="H21" s="10" t="s">
        <v>246</v>
      </c>
      <c r="I21" s="10"/>
      <c r="J21" s="12">
        <v>18760</v>
      </c>
      <c r="K21" s="13">
        <f t="shared" si="0"/>
        <v>0</v>
      </c>
    </row>
    <row r="22" spans="2:11" x14ac:dyDescent="0.3">
      <c r="B22" s="10">
        <v>12</v>
      </c>
      <c r="C22" s="10" t="s">
        <v>243</v>
      </c>
      <c r="D22" s="10" t="s">
        <v>243</v>
      </c>
      <c r="E22" s="10" t="s">
        <v>244</v>
      </c>
      <c r="F22" s="10">
        <v>6141001</v>
      </c>
      <c r="G22" s="11" t="s">
        <v>257</v>
      </c>
      <c r="H22" s="10" t="s">
        <v>246</v>
      </c>
      <c r="I22" s="10"/>
      <c r="J22" s="12">
        <v>9141</v>
      </c>
      <c r="K22" s="13">
        <f t="shared" si="0"/>
        <v>0</v>
      </c>
    </row>
    <row r="23" spans="2:11" x14ac:dyDescent="0.3">
      <c r="B23" s="10">
        <v>13</v>
      </c>
      <c r="C23" s="10" t="s">
        <v>243</v>
      </c>
      <c r="D23" s="10" t="s">
        <v>243</v>
      </c>
      <c r="E23" s="10" t="s">
        <v>244</v>
      </c>
      <c r="F23" s="10">
        <v>6141568</v>
      </c>
      <c r="G23" s="11" t="s">
        <v>258</v>
      </c>
      <c r="H23" s="10" t="s">
        <v>246</v>
      </c>
      <c r="I23" s="10"/>
      <c r="J23" s="12">
        <v>1950</v>
      </c>
      <c r="K23" s="13">
        <f t="shared" si="0"/>
        <v>0</v>
      </c>
    </row>
    <row r="24" spans="2:11" x14ac:dyDescent="0.3">
      <c r="B24" s="10">
        <v>14</v>
      </c>
      <c r="C24" s="10" t="s">
        <v>243</v>
      </c>
      <c r="D24" s="10" t="s">
        <v>243</v>
      </c>
      <c r="E24" s="10" t="s">
        <v>244</v>
      </c>
      <c r="F24" s="10">
        <v>6141770</v>
      </c>
      <c r="G24" s="11" t="s">
        <v>259</v>
      </c>
      <c r="H24" s="10" t="s">
        <v>246</v>
      </c>
      <c r="I24" s="10"/>
      <c r="J24" s="12">
        <v>4061</v>
      </c>
      <c r="K24" s="13">
        <f t="shared" si="0"/>
        <v>0</v>
      </c>
    </row>
    <row r="25" spans="2:11" x14ac:dyDescent="0.3">
      <c r="B25" s="10">
        <v>15</v>
      </c>
      <c r="C25" s="10" t="s">
        <v>243</v>
      </c>
      <c r="D25" s="10" t="s">
        <v>243</v>
      </c>
      <c r="E25" s="10" t="s">
        <v>244</v>
      </c>
      <c r="F25" s="10">
        <v>6142185</v>
      </c>
      <c r="G25" s="11" t="s">
        <v>260</v>
      </c>
      <c r="H25" s="10" t="s">
        <v>246</v>
      </c>
      <c r="I25" s="10"/>
      <c r="J25" s="12">
        <v>6030</v>
      </c>
      <c r="K25" s="13">
        <f t="shared" si="0"/>
        <v>0</v>
      </c>
    </row>
    <row r="26" spans="2:11" x14ac:dyDescent="0.3">
      <c r="B26" s="10">
        <v>16</v>
      </c>
      <c r="C26" s="10" t="s">
        <v>243</v>
      </c>
      <c r="D26" s="10" t="s">
        <v>243</v>
      </c>
      <c r="E26" s="10" t="s">
        <v>244</v>
      </c>
      <c r="F26" s="10">
        <v>6146550</v>
      </c>
      <c r="G26" s="11" t="s">
        <v>261</v>
      </c>
      <c r="H26" s="10" t="s">
        <v>246</v>
      </c>
      <c r="I26" s="10"/>
      <c r="J26" s="12">
        <v>29093</v>
      </c>
      <c r="K26" s="13">
        <f t="shared" si="0"/>
        <v>0</v>
      </c>
    </row>
    <row r="27" spans="2:11" x14ac:dyDescent="0.3">
      <c r="B27" s="10">
        <v>17</v>
      </c>
      <c r="C27" s="10" t="s">
        <v>243</v>
      </c>
      <c r="D27" s="10" t="s">
        <v>243</v>
      </c>
      <c r="E27" s="10" t="s">
        <v>244</v>
      </c>
      <c r="F27" s="10">
        <v>6391385</v>
      </c>
      <c r="G27" s="11" t="s">
        <v>262</v>
      </c>
      <c r="H27" s="10" t="s">
        <v>246</v>
      </c>
      <c r="I27" s="10"/>
      <c r="J27" s="12">
        <v>20290</v>
      </c>
      <c r="K27" s="13">
        <f t="shared" si="0"/>
        <v>0</v>
      </c>
    </row>
    <row r="28" spans="2:11" x14ac:dyDescent="0.3">
      <c r="B28" s="10">
        <v>18</v>
      </c>
      <c r="C28" s="10" t="s">
        <v>243</v>
      </c>
      <c r="D28" s="10" t="s">
        <v>243</v>
      </c>
      <c r="E28" s="10" t="s">
        <v>244</v>
      </c>
      <c r="F28" s="10">
        <v>6393702</v>
      </c>
      <c r="G28" s="11" t="s">
        <v>263</v>
      </c>
      <c r="H28" s="10" t="s">
        <v>246</v>
      </c>
      <c r="I28" s="10"/>
      <c r="J28" s="12">
        <v>13798</v>
      </c>
      <c r="K28" s="13">
        <f t="shared" si="0"/>
        <v>0</v>
      </c>
    </row>
    <row r="29" spans="2:11" x14ac:dyDescent="0.3">
      <c r="B29" s="10">
        <v>19</v>
      </c>
      <c r="C29" s="10" t="s">
        <v>243</v>
      </c>
      <c r="D29" s="10" t="s">
        <v>243</v>
      </c>
      <c r="E29" s="10" t="s">
        <v>244</v>
      </c>
      <c r="F29" s="10">
        <v>6393716</v>
      </c>
      <c r="G29" s="11" t="s">
        <v>264</v>
      </c>
      <c r="H29" s="10" t="s">
        <v>246</v>
      </c>
      <c r="I29" s="10"/>
      <c r="J29" s="12">
        <v>23963</v>
      </c>
      <c r="K29" s="13">
        <f t="shared" si="0"/>
        <v>0</v>
      </c>
    </row>
    <row r="30" spans="2:11" x14ac:dyDescent="0.3">
      <c r="B30" s="10">
        <v>20</v>
      </c>
      <c r="C30" s="10" t="s">
        <v>243</v>
      </c>
      <c r="D30" s="10" t="s">
        <v>243</v>
      </c>
      <c r="E30" s="10" t="s">
        <v>244</v>
      </c>
      <c r="F30" s="10">
        <v>6621030</v>
      </c>
      <c r="G30" s="11" t="s">
        <v>265</v>
      </c>
      <c r="H30" s="10" t="s">
        <v>246</v>
      </c>
      <c r="I30" s="10"/>
      <c r="J30" s="12">
        <v>8890</v>
      </c>
      <c r="K30" s="13">
        <f t="shared" si="0"/>
        <v>0</v>
      </c>
    </row>
    <row r="31" spans="2:11" x14ac:dyDescent="0.3">
      <c r="B31" s="10">
        <v>21</v>
      </c>
      <c r="C31" s="10" t="s">
        <v>243</v>
      </c>
      <c r="D31" s="10" t="s">
        <v>243</v>
      </c>
      <c r="E31" s="10" t="s">
        <v>244</v>
      </c>
      <c r="F31" s="10">
        <v>8761055</v>
      </c>
      <c r="G31" s="11" t="s">
        <v>266</v>
      </c>
      <c r="H31" s="10" t="s">
        <v>246</v>
      </c>
      <c r="I31" s="10"/>
      <c r="J31" s="12">
        <v>53284</v>
      </c>
      <c r="K31" s="13">
        <f t="shared" si="0"/>
        <v>0</v>
      </c>
    </row>
    <row r="32" spans="2:11" x14ac:dyDescent="0.3">
      <c r="B32" s="10">
        <v>22</v>
      </c>
      <c r="C32" s="10" t="s">
        <v>243</v>
      </c>
      <c r="D32" s="10" t="s">
        <v>243</v>
      </c>
      <c r="E32" s="10" t="s">
        <v>244</v>
      </c>
      <c r="F32" s="10">
        <v>8762910</v>
      </c>
      <c r="G32" s="11" t="s">
        <v>267</v>
      </c>
      <c r="H32" s="10" t="s">
        <v>246</v>
      </c>
      <c r="I32" s="10"/>
      <c r="J32" s="12">
        <v>57800</v>
      </c>
      <c r="K32" s="13">
        <f t="shared" si="0"/>
        <v>0</v>
      </c>
    </row>
    <row r="33" spans="2:11" x14ac:dyDescent="0.3">
      <c r="B33" s="10">
        <v>23</v>
      </c>
      <c r="C33" s="10" t="s">
        <v>243</v>
      </c>
      <c r="D33" s="10" t="s">
        <v>243</v>
      </c>
      <c r="E33" s="10" t="s">
        <v>244</v>
      </c>
      <c r="F33" s="10">
        <v>8763050</v>
      </c>
      <c r="G33" s="11" t="s">
        <v>268</v>
      </c>
      <c r="H33" s="10" t="s">
        <v>246</v>
      </c>
      <c r="I33" s="10"/>
      <c r="J33" s="12">
        <v>109028</v>
      </c>
      <c r="K33" s="13">
        <f t="shared" si="0"/>
        <v>0</v>
      </c>
    </row>
    <row r="34" spans="2:11" x14ac:dyDescent="0.3">
      <c r="B34" s="10">
        <v>24</v>
      </c>
      <c r="C34" s="10" t="s">
        <v>243</v>
      </c>
      <c r="D34" s="10" t="s">
        <v>243</v>
      </c>
      <c r="E34" s="10" t="s">
        <v>244</v>
      </c>
      <c r="F34" s="10">
        <v>5221080</v>
      </c>
      <c r="G34" s="11" t="s">
        <v>269</v>
      </c>
      <c r="H34" s="10" t="s">
        <v>246</v>
      </c>
      <c r="I34" s="10"/>
      <c r="J34" s="12">
        <v>75783</v>
      </c>
      <c r="K34" s="13">
        <f t="shared" si="0"/>
        <v>0</v>
      </c>
    </row>
    <row r="35" spans="2:11" x14ac:dyDescent="0.3">
      <c r="B35" s="10">
        <v>25</v>
      </c>
      <c r="C35" s="10" t="s">
        <v>243</v>
      </c>
      <c r="D35" s="10" t="s">
        <v>243</v>
      </c>
      <c r="E35" s="10" t="s">
        <v>244</v>
      </c>
      <c r="F35" s="10">
        <v>5901145</v>
      </c>
      <c r="G35" s="11" t="s">
        <v>270</v>
      </c>
      <c r="H35" s="10" t="s">
        <v>246</v>
      </c>
      <c r="I35" s="10"/>
      <c r="J35" s="12">
        <v>54074</v>
      </c>
      <c r="K35" s="13">
        <f t="shared" si="0"/>
        <v>0</v>
      </c>
    </row>
    <row r="36" spans="2:11" x14ac:dyDescent="0.3">
      <c r="B36" s="10">
        <v>26</v>
      </c>
      <c r="C36" s="10" t="s">
        <v>243</v>
      </c>
      <c r="D36" s="10" t="s">
        <v>243</v>
      </c>
      <c r="E36" s="10" t="s">
        <v>271</v>
      </c>
      <c r="F36" s="10">
        <v>684009</v>
      </c>
      <c r="G36" s="11" t="s">
        <v>272</v>
      </c>
      <c r="H36" s="10" t="s">
        <v>246</v>
      </c>
      <c r="I36" s="10"/>
      <c r="J36" s="12">
        <v>43344</v>
      </c>
      <c r="K36" s="13">
        <f t="shared" si="0"/>
        <v>0</v>
      </c>
    </row>
    <row r="37" spans="2:11" x14ac:dyDescent="0.3">
      <c r="B37" s="10">
        <v>27</v>
      </c>
      <c r="C37" s="10" t="s">
        <v>243</v>
      </c>
      <c r="D37" s="10" t="s">
        <v>243</v>
      </c>
      <c r="E37" s="10" t="s">
        <v>271</v>
      </c>
      <c r="F37" s="10">
        <v>685400</v>
      </c>
      <c r="G37" s="11" t="s">
        <v>273</v>
      </c>
      <c r="H37" s="10" t="s">
        <v>246</v>
      </c>
      <c r="I37" s="10"/>
      <c r="J37" s="12">
        <v>59401</v>
      </c>
      <c r="K37" s="13">
        <f t="shared" si="0"/>
        <v>0</v>
      </c>
    </row>
    <row r="38" spans="2:11" x14ac:dyDescent="0.3">
      <c r="B38" s="10">
        <v>28</v>
      </c>
      <c r="C38" s="10" t="s">
        <v>243</v>
      </c>
      <c r="D38" s="10" t="s">
        <v>243</v>
      </c>
      <c r="E38" s="10" t="s">
        <v>271</v>
      </c>
      <c r="F38" s="10">
        <v>684812</v>
      </c>
      <c r="G38" s="11" t="s">
        <v>274</v>
      </c>
      <c r="H38" s="10" t="s">
        <v>246</v>
      </c>
      <c r="I38" s="10"/>
      <c r="J38" s="12">
        <v>23752</v>
      </c>
      <c r="K38" s="13">
        <f t="shared" si="0"/>
        <v>0</v>
      </c>
    </row>
    <row r="39" spans="2:11" x14ac:dyDescent="0.3">
      <c r="B39" s="10">
        <v>29</v>
      </c>
      <c r="C39" s="10" t="s">
        <v>243</v>
      </c>
      <c r="D39" s="10" t="s">
        <v>243</v>
      </c>
      <c r="E39" s="10" t="s">
        <v>271</v>
      </c>
      <c r="F39" s="10">
        <v>684808</v>
      </c>
      <c r="G39" s="11" t="s">
        <v>275</v>
      </c>
      <c r="H39" s="10" t="s">
        <v>246</v>
      </c>
      <c r="I39" s="10"/>
      <c r="J39" s="12">
        <v>12978</v>
      </c>
      <c r="K39" s="13">
        <f t="shared" si="0"/>
        <v>0</v>
      </c>
    </row>
    <row r="40" spans="2:11" x14ac:dyDescent="0.3">
      <c r="B40" s="10">
        <v>30</v>
      </c>
      <c r="C40" s="10" t="s">
        <v>243</v>
      </c>
      <c r="D40" s="10" t="s">
        <v>243</v>
      </c>
      <c r="E40" s="10" t="s">
        <v>271</v>
      </c>
      <c r="F40" s="10">
        <v>200153</v>
      </c>
      <c r="G40" s="11" t="s">
        <v>276</v>
      </c>
      <c r="H40" s="10" t="s">
        <v>246</v>
      </c>
      <c r="I40" s="10"/>
      <c r="J40" s="12">
        <v>65744</v>
      </c>
      <c r="K40" s="13">
        <f t="shared" si="0"/>
        <v>0</v>
      </c>
    </row>
    <row r="41" spans="2:11" x14ac:dyDescent="0.3">
      <c r="B41" s="10">
        <v>31</v>
      </c>
      <c r="C41" s="10" t="s">
        <v>243</v>
      </c>
      <c r="D41" s="10" t="s">
        <v>243</v>
      </c>
      <c r="E41" s="10" t="s">
        <v>271</v>
      </c>
      <c r="F41" s="10">
        <v>200152</v>
      </c>
      <c r="G41" s="11" t="s">
        <v>277</v>
      </c>
      <c r="H41" s="10" t="s">
        <v>246</v>
      </c>
      <c r="I41" s="10"/>
      <c r="J41" s="12">
        <v>58161</v>
      </c>
      <c r="K41" s="13">
        <f t="shared" si="0"/>
        <v>0</v>
      </c>
    </row>
    <row r="42" spans="2:11" x14ac:dyDescent="0.3">
      <c r="B42" s="10">
        <v>32</v>
      </c>
      <c r="C42" s="10" t="s">
        <v>243</v>
      </c>
      <c r="D42" s="10" t="s">
        <v>243</v>
      </c>
      <c r="E42" s="10" t="s">
        <v>278</v>
      </c>
      <c r="F42" s="10"/>
      <c r="G42" s="11" t="s">
        <v>279</v>
      </c>
      <c r="H42" s="10" t="s">
        <v>246</v>
      </c>
      <c r="I42" s="10"/>
      <c r="J42" s="12">
        <v>34965</v>
      </c>
      <c r="K42" s="13">
        <f t="shared" si="0"/>
        <v>0</v>
      </c>
    </row>
    <row r="43" spans="2:11" x14ac:dyDescent="0.3">
      <c r="B43" s="10">
        <v>33</v>
      </c>
      <c r="C43" s="10" t="s">
        <v>14</v>
      </c>
      <c r="D43" s="10" t="s">
        <v>15</v>
      </c>
      <c r="E43" s="10" t="s">
        <v>280</v>
      </c>
      <c r="F43" s="10" t="s">
        <v>16</v>
      </c>
      <c r="G43" s="11" t="s">
        <v>281</v>
      </c>
      <c r="H43" s="10" t="s">
        <v>17</v>
      </c>
      <c r="I43" s="10"/>
      <c r="J43" s="12">
        <v>5000</v>
      </c>
      <c r="K43" s="13">
        <f t="shared" si="0"/>
        <v>0</v>
      </c>
    </row>
    <row r="44" spans="2:11" x14ac:dyDescent="0.3">
      <c r="B44" s="10">
        <v>34</v>
      </c>
      <c r="C44" s="10" t="s">
        <v>14</v>
      </c>
      <c r="D44" s="10" t="s">
        <v>15</v>
      </c>
      <c r="E44" s="10" t="s">
        <v>280</v>
      </c>
      <c r="F44" s="10" t="s">
        <v>16</v>
      </c>
      <c r="G44" s="11" t="s">
        <v>18</v>
      </c>
      <c r="H44" s="10" t="s">
        <v>17</v>
      </c>
      <c r="I44" s="10"/>
      <c r="J44" s="12">
        <v>48000</v>
      </c>
      <c r="K44" s="13">
        <f t="shared" si="0"/>
        <v>0</v>
      </c>
    </row>
    <row r="45" spans="2:11" x14ac:dyDescent="0.3">
      <c r="B45" s="10">
        <v>35</v>
      </c>
      <c r="C45" s="10" t="s">
        <v>14</v>
      </c>
      <c r="D45" s="10" t="s">
        <v>15</v>
      </c>
      <c r="E45" s="10" t="s">
        <v>280</v>
      </c>
      <c r="F45" s="10" t="s">
        <v>16</v>
      </c>
      <c r="G45" s="11" t="s">
        <v>19</v>
      </c>
      <c r="H45" s="10" t="s">
        <v>17</v>
      </c>
      <c r="I45" s="10"/>
      <c r="J45" s="12">
        <v>42000</v>
      </c>
      <c r="K45" s="13">
        <f t="shared" si="0"/>
        <v>0</v>
      </c>
    </row>
    <row r="46" spans="2:11" x14ac:dyDescent="0.3">
      <c r="B46" s="10">
        <v>36</v>
      </c>
      <c r="C46" s="10" t="s">
        <v>14</v>
      </c>
      <c r="D46" s="10" t="s">
        <v>15</v>
      </c>
      <c r="E46" s="10" t="s">
        <v>280</v>
      </c>
      <c r="F46" s="10" t="s">
        <v>16</v>
      </c>
      <c r="G46" s="11" t="s">
        <v>20</v>
      </c>
      <c r="H46" s="10" t="s">
        <v>17</v>
      </c>
      <c r="I46" s="10"/>
      <c r="J46" s="12">
        <v>36000</v>
      </c>
      <c r="K46" s="13">
        <f t="shared" si="0"/>
        <v>0</v>
      </c>
    </row>
    <row r="47" spans="2:11" x14ac:dyDescent="0.3">
      <c r="B47" s="10">
        <v>37</v>
      </c>
      <c r="C47" s="10" t="s">
        <v>14</v>
      </c>
      <c r="D47" s="10" t="s">
        <v>15</v>
      </c>
      <c r="E47" s="10" t="s">
        <v>280</v>
      </c>
      <c r="F47" s="10" t="s">
        <v>16</v>
      </c>
      <c r="G47" s="11" t="s">
        <v>21</v>
      </c>
      <c r="H47" s="10" t="s">
        <v>17</v>
      </c>
      <c r="I47" s="10"/>
      <c r="J47" s="12">
        <v>60000</v>
      </c>
      <c r="K47" s="13">
        <f t="shared" si="0"/>
        <v>0</v>
      </c>
    </row>
    <row r="48" spans="2:11" x14ac:dyDescent="0.3">
      <c r="B48" s="10">
        <v>38</v>
      </c>
      <c r="C48" s="10" t="s">
        <v>14</v>
      </c>
      <c r="D48" s="10" t="s">
        <v>15</v>
      </c>
      <c r="E48" s="10" t="s">
        <v>280</v>
      </c>
      <c r="F48" s="10" t="s">
        <v>16</v>
      </c>
      <c r="G48" s="11" t="s">
        <v>22</v>
      </c>
      <c r="H48" s="10" t="s">
        <v>17</v>
      </c>
      <c r="I48" s="10"/>
      <c r="J48" s="12">
        <v>48000</v>
      </c>
      <c r="K48" s="13">
        <f t="shared" si="0"/>
        <v>0</v>
      </c>
    </row>
    <row r="49" spans="2:13" x14ac:dyDescent="0.3">
      <c r="B49" s="10">
        <v>39</v>
      </c>
      <c r="C49" s="10" t="s">
        <v>14</v>
      </c>
      <c r="D49" s="10" t="s">
        <v>15</v>
      </c>
      <c r="E49" s="10" t="s">
        <v>280</v>
      </c>
      <c r="F49" s="10" t="s">
        <v>16</v>
      </c>
      <c r="G49" s="11" t="s">
        <v>23</v>
      </c>
      <c r="H49" s="10" t="s">
        <v>17</v>
      </c>
      <c r="I49" s="10"/>
      <c r="J49" s="12">
        <v>43200</v>
      </c>
      <c r="K49" s="13">
        <f t="shared" si="0"/>
        <v>0</v>
      </c>
    </row>
    <row r="50" spans="2:13" x14ac:dyDescent="0.3">
      <c r="B50" s="10">
        <v>40</v>
      </c>
      <c r="C50" s="10" t="s">
        <v>14</v>
      </c>
      <c r="D50" s="10" t="s">
        <v>24</v>
      </c>
      <c r="E50" s="10" t="s">
        <v>280</v>
      </c>
      <c r="F50" s="10" t="s">
        <v>16</v>
      </c>
      <c r="G50" s="19" t="s">
        <v>25</v>
      </c>
      <c r="H50" s="20" t="s">
        <v>26</v>
      </c>
      <c r="I50" s="10"/>
      <c r="J50" s="12">
        <v>45000</v>
      </c>
      <c r="K50" s="13">
        <f t="shared" si="0"/>
        <v>0</v>
      </c>
      <c r="L50" s="9"/>
      <c r="M50" s="9"/>
    </row>
    <row r="51" spans="2:13" x14ac:dyDescent="0.3">
      <c r="B51" s="10">
        <v>41</v>
      </c>
      <c r="C51" s="10" t="s">
        <v>14</v>
      </c>
      <c r="D51" s="10" t="s">
        <v>24</v>
      </c>
      <c r="E51" s="10" t="s">
        <v>280</v>
      </c>
      <c r="F51" s="10"/>
      <c r="G51" s="19" t="s">
        <v>3</v>
      </c>
      <c r="H51" s="20" t="s">
        <v>27</v>
      </c>
      <c r="I51" s="10"/>
      <c r="J51" s="12">
        <v>90000</v>
      </c>
      <c r="K51" s="13">
        <f t="shared" si="0"/>
        <v>0</v>
      </c>
      <c r="L51" s="9"/>
      <c r="M51" s="9"/>
    </row>
    <row r="52" spans="2:13" x14ac:dyDescent="0.3">
      <c r="B52" s="10">
        <v>42</v>
      </c>
      <c r="C52" s="10" t="s">
        <v>14</v>
      </c>
      <c r="D52" s="10" t="s">
        <v>24</v>
      </c>
      <c r="E52" s="10" t="s">
        <v>280</v>
      </c>
      <c r="F52" s="10" t="s">
        <v>16</v>
      </c>
      <c r="G52" s="19" t="s">
        <v>28</v>
      </c>
      <c r="H52" s="20" t="s">
        <v>26</v>
      </c>
      <c r="I52" s="10"/>
      <c r="J52" s="12">
        <v>107866</v>
      </c>
      <c r="K52" s="13">
        <f t="shared" si="0"/>
        <v>0</v>
      </c>
      <c r="L52" s="9"/>
      <c r="M52" s="9"/>
    </row>
    <row r="53" spans="2:13" x14ac:dyDescent="0.3">
      <c r="B53" s="10">
        <v>43</v>
      </c>
      <c r="C53" s="10" t="s">
        <v>14</v>
      </c>
      <c r="D53" s="10" t="s">
        <v>24</v>
      </c>
      <c r="E53" s="10" t="s">
        <v>280</v>
      </c>
      <c r="F53" s="10"/>
      <c r="G53" s="19" t="s">
        <v>29</v>
      </c>
      <c r="H53" s="20" t="s">
        <v>27</v>
      </c>
      <c r="I53" s="10"/>
      <c r="J53" s="12">
        <v>215732</v>
      </c>
      <c r="K53" s="13">
        <f t="shared" si="0"/>
        <v>0</v>
      </c>
      <c r="L53" s="9"/>
      <c r="M53" s="9"/>
    </row>
    <row r="54" spans="2:13" x14ac:dyDescent="0.3">
      <c r="B54" s="10">
        <v>44</v>
      </c>
      <c r="C54" s="10" t="s">
        <v>14</v>
      </c>
      <c r="D54" s="10" t="s">
        <v>24</v>
      </c>
      <c r="E54" s="10" t="s">
        <v>280</v>
      </c>
      <c r="F54" s="10" t="s">
        <v>16</v>
      </c>
      <c r="G54" s="21" t="s">
        <v>30</v>
      </c>
      <c r="H54" s="22" t="s">
        <v>31</v>
      </c>
      <c r="I54" s="10"/>
      <c r="J54" s="12">
        <v>67500</v>
      </c>
      <c r="K54" s="13">
        <f t="shared" si="0"/>
        <v>0</v>
      </c>
      <c r="L54" s="9"/>
    </row>
    <row r="55" spans="2:13" x14ac:dyDescent="0.3">
      <c r="B55" s="10">
        <v>45</v>
      </c>
      <c r="C55" s="10" t="s">
        <v>14</v>
      </c>
      <c r="D55" s="10" t="s">
        <v>24</v>
      </c>
      <c r="E55" s="10" t="s">
        <v>280</v>
      </c>
      <c r="F55" s="10"/>
      <c r="G55" s="21" t="s">
        <v>32</v>
      </c>
      <c r="H55" s="22" t="s">
        <v>33</v>
      </c>
      <c r="I55" s="10"/>
      <c r="J55" s="12">
        <v>135000</v>
      </c>
      <c r="K55" s="13">
        <f t="shared" si="0"/>
        <v>0</v>
      </c>
      <c r="L55" s="9"/>
    </row>
    <row r="56" spans="2:13" x14ac:dyDescent="0.3">
      <c r="B56" s="10">
        <v>46</v>
      </c>
      <c r="C56" s="10" t="s">
        <v>14</v>
      </c>
      <c r="D56" s="10" t="s">
        <v>24</v>
      </c>
      <c r="E56" s="10" t="s">
        <v>280</v>
      </c>
      <c r="F56" s="10" t="s">
        <v>16</v>
      </c>
      <c r="G56" s="21" t="s">
        <v>34</v>
      </c>
      <c r="H56" s="22" t="s">
        <v>31</v>
      </c>
      <c r="I56" s="10"/>
      <c r="J56" s="12">
        <v>161799</v>
      </c>
      <c r="K56" s="13">
        <f t="shared" si="0"/>
        <v>0</v>
      </c>
      <c r="L56" s="9"/>
    </row>
    <row r="57" spans="2:13" x14ac:dyDescent="0.3">
      <c r="B57" s="10">
        <v>47</v>
      </c>
      <c r="C57" s="10" t="s">
        <v>14</v>
      </c>
      <c r="D57" s="10" t="s">
        <v>24</v>
      </c>
      <c r="E57" s="10" t="s">
        <v>280</v>
      </c>
      <c r="F57" s="10"/>
      <c r="G57" s="21" t="s">
        <v>35</v>
      </c>
      <c r="H57" s="22" t="s">
        <v>33</v>
      </c>
      <c r="I57" s="10"/>
      <c r="J57" s="12">
        <v>323598</v>
      </c>
      <c r="K57" s="13">
        <f t="shared" si="0"/>
        <v>0</v>
      </c>
      <c r="L57" s="9"/>
    </row>
    <row r="58" spans="2:13" x14ac:dyDescent="0.3">
      <c r="B58" s="10">
        <v>48</v>
      </c>
      <c r="C58" s="10" t="s">
        <v>14</v>
      </c>
      <c r="D58" s="10" t="s">
        <v>24</v>
      </c>
      <c r="E58" s="10" t="s">
        <v>280</v>
      </c>
      <c r="F58" s="10" t="s">
        <v>16</v>
      </c>
      <c r="G58" s="11" t="s">
        <v>36</v>
      </c>
      <c r="H58" s="10" t="s">
        <v>37</v>
      </c>
      <c r="I58" s="10"/>
      <c r="J58" s="12">
        <v>1000000</v>
      </c>
      <c r="K58" s="13">
        <f t="shared" si="0"/>
        <v>0</v>
      </c>
    </row>
    <row r="59" spans="2:13" x14ac:dyDescent="0.3">
      <c r="B59" s="10">
        <v>49</v>
      </c>
      <c r="C59" s="10" t="s">
        <v>14</v>
      </c>
      <c r="D59" s="10" t="s">
        <v>24</v>
      </c>
      <c r="E59" s="10" t="s">
        <v>280</v>
      </c>
      <c r="F59" s="10" t="s">
        <v>16</v>
      </c>
      <c r="G59" s="11" t="s">
        <v>38</v>
      </c>
      <c r="H59" s="10" t="s">
        <v>37</v>
      </c>
      <c r="I59" s="10"/>
      <c r="J59" s="12">
        <v>100000</v>
      </c>
      <c r="K59" s="13">
        <f t="shared" si="0"/>
        <v>0</v>
      </c>
    </row>
    <row r="60" spans="2:13" x14ac:dyDescent="0.3">
      <c r="B60" s="10">
        <v>50</v>
      </c>
      <c r="C60" s="10" t="s">
        <v>14</v>
      </c>
      <c r="D60" s="10" t="s">
        <v>24</v>
      </c>
      <c r="E60" s="10" t="s">
        <v>280</v>
      </c>
      <c r="F60" s="10" t="s">
        <v>16</v>
      </c>
      <c r="G60" s="11" t="s">
        <v>39</v>
      </c>
      <c r="H60" s="10" t="s">
        <v>37</v>
      </c>
      <c r="I60" s="10"/>
      <c r="J60" s="12">
        <v>67500</v>
      </c>
      <c r="K60" s="13">
        <f t="shared" si="0"/>
        <v>0</v>
      </c>
    </row>
    <row r="61" spans="2:13" x14ac:dyDescent="0.3">
      <c r="B61" s="10">
        <v>51</v>
      </c>
      <c r="C61" s="10" t="s">
        <v>14</v>
      </c>
      <c r="D61" s="10" t="s">
        <v>24</v>
      </c>
      <c r="E61" s="10" t="s">
        <v>280</v>
      </c>
      <c r="F61" s="10" t="s">
        <v>16</v>
      </c>
      <c r="G61" s="11" t="s">
        <v>40</v>
      </c>
      <c r="H61" s="10" t="s">
        <v>37</v>
      </c>
      <c r="I61" s="10"/>
      <c r="J61" s="12">
        <v>67500</v>
      </c>
      <c r="K61" s="13">
        <f t="shared" si="0"/>
        <v>0</v>
      </c>
    </row>
    <row r="62" spans="2:13" x14ac:dyDescent="0.3">
      <c r="B62" s="10">
        <v>52</v>
      </c>
      <c r="C62" s="10" t="s">
        <v>14</v>
      </c>
      <c r="D62" s="10" t="s">
        <v>24</v>
      </c>
      <c r="E62" s="10" t="s">
        <v>280</v>
      </c>
      <c r="F62" s="10" t="s">
        <v>16</v>
      </c>
      <c r="G62" s="11" t="s">
        <v>41</v>
      </c>
      <c r="H62" s="10" t="s">
        <v>42</v>
      </c>
      <c r="I62" s="10"/>
      <c r="J62" s="12">
        <v>90000</v>
      </c>
      <c r="K62" s="13">
        <f t="shared" si="0"/>
        <v>0</v>
      </c>
    </row>
    <row r="63" spans="2:13" x14ac:dyDescent="0.3">
      <c r="B63" s="10">
        <v>53</v>
      </c>
      <c r="C63" s="10" t="s">
        <v>14</v>
      </c>
      <c r="D63" s="10" t="s">
        <v>24</v>
      </c>
      <c r="E63" s="10" t="s">
        <v>280</v>
      </c>
      <c r="F63" s="10" t="s">
        <v>16</v>
      </c>
      <c r="G63" s="11" t="s">
        <v>43</v>
      </c>
      <c r="H63" s="10" t="s">
        <v>42</v>
      </c>
      <c r="I63" s="10"/>
      <c r="J63" s="12">
        <v>56666.666666666664</v>
      </c>
      <c r="K63" s="13">
        <f t="shared" si="0"/>
        <v>0</v>
      </c>
    </row>
    <row r="64" spans="2:13" x14ac:dyDescent="0.3">
      <c r="B64" s="10">
        <v>54</v>
      </c>
      <c r="C64" s="10" t="s">
        <v>14</v>
      </c>
      <c r="D64" s="10" t="s">
        <v>24</v>
      </c>
      <c r="E64" s="10" t="s">
        <v>280</v>
      </c>
      <c r="F64" s="10" t="s">
        <v>16</v>
      </c>
      <c r="G64" s="11" t="s">
        <v>44</v>
      </c>
      <c r="H64" s="10" t="s">
        <v>37</v>
      </c>
      <c r="I64" s="10"/>
      <c r="J64" s="12">
        <v>199398</v>
      </c>
      <c r="K64" s="13">
        <f t="shared" si="0"/>
        <v>0</v>
      </c>
    </row>
    <row r="65" spans="2:13" x14ac:dyDescent="0.3">
      <c r="B65" s="10">
        <v>55</v>
      </c>
      <c r="C65" s="10" t="s">
        <v>14</v>
      </c>
      <c r="D65" s="10" t="s">
        <v>24</v>
      </c>
      <c r="E65" s="10" t="s">
        <v>280</v>
      </c>
      <c r="F65" s="10" t="s">
        <v>16</v>
      </c>
      <c r="G65" s="11" t="s">
        <v>45</v>
      </c>
      <c r="H65" s="10" t="s">
        <v>37</v>
      </c>
      <c r="I65" s="10"/>
      <c r="J65" s="12">
        <v>282000</v>
      </c>
      <c r="K65" s="13">
        <f t="shared" si="0"/>
        <v>0</v>
      </c>
    </row>
    <row r="66" spans="2:13" x14ac:dyDescent="0.3">
      <c r="B66" s="10">
        <v>56</v>
      </c>
      <c r="C66" s="10" t="s">
        <v>14</v>
      </c>
      <c r="D66" s="10" t="s">
        <v>24</v>
      </c>
      <c r="E66" s="10" t="s">
        <v>280</v>
      </c>
      <c r="F66" s="10" t="s">
        <v>16</v>
      </c>
      <c r="G66" s="11" t="s">
        <v>46</v>
      </c>
      <c r="H66" s="10" t="s">
        <v>37</v>
      </c>
      <c r="I66" s="10"/>
      <c r="J66" s="12">
        <v>240000</v>
      </c>
      <c r="K66" s="13">
        <f t="shared" si="0"/>
        <v>0</v>
      </c>
    </row>
    <row r="67" spans="2:13" x14ac:dyDescent="0.3">
      <c r="B67" s="10">
        <v>57</v>
      </c>
      <c r="C67" s="10" t="s">
        <v>14</v>
      </c>
      <c r="D67" s="10" t="s">
        <v>24</v>
      </c>
      <c r="E67" s="10" t="s">
        <v>280</v>
      </c>
      <c r="F67" s="10" t="s">
        <v>16</v>
      </c>
      <c r="G67" s="11" t="s">
        <v>47</v>
      </c>
      <c r="H67" s="10" t="s">
        <v>37</v>
      </c>
      <c r="I67" s="10"/>
      <c r="J67" s="12">
        <v>215000</v>
      </c>
      <c r="K67" s="13">
        <f t="shared" si="0"/>
        <v>0</v>
      </c>
    </row>
    <row r="68" spans="2:13" x14ac:dyDescent="0.3">
      <c r="B68" s="10">
        <v>58</v>
      </c>
      <c r="C68" s="10" t="s">
        <v>14</v>
      </c>
      <c r="D68" s="10" t="s">
        <v>24</v>
      </c>
      <c r="E68" s="10" t="s">
        <v>280</v>
      </c>
      <c r="F68" s="10" t="s">
        <v>16</v>
      </c>
      <c r="G68" s="11" t="s">
        <v>48</v>
      </c>
      <c r="H68" s="10" t="s">
        <v>282</v>
      </c>
      <c r="I68" s="10"/>
      <c r="J68" s="12">
        <v>60000</v>
      </c>
      <c r="K68" s="13">
        <f t="shared" si="0"/>
        <v>0</v>
      </c>
    </row>
    <row r="69" spans="2:13" x14ac:dyDescent="0.3">
      <c r="B69" s="10">
        <v>59</v>
      </c>
      <c r="C69" s="10" t="s">
        <v>14</v>
      </c>
      <c r="D69" s="10" t="s">
        <v>24</v>
      </c>
      <c r="E69" s="10" t="s">
        <v>280</v>
      </c>
      <c r="F69" s="10" t="s">
        <v>16</v>
      </c>
      <c r="G69" s="11" t="s">
        <v>283</v>
      </c>
      <c r="H69" s="10" t="s">
        <v>246</v>
      </c>
      <c r="I69" s="10"/>
      <c r="J69" s="12">
        <v>2704</v>
      </c>
      <c r="K69" s="13">
        <f t="shared" si="0"/>
        <v>0</v>
      </c>
    </row>
    <row r="70" spans="2:13" x14ac:dyDescent="0.3">
      <c r="B70" s="10">
        <v>60</v>
      </c>
      <c r="C70" s="10" t="s">
        <v>14</v>
      </c>
      <c r="D70" s="10" t="s">
        <v>24</v>
      </c>
      <c r="E70" s="10" t="s">
        <v>280</v>
      </c>
      <c r="F70" s="10" t="s">
        <v>16</v>
      </c>
      <c r="G70" s="11" t="s">
        <v>4</v>
      </c>
      <c r="H70" s="10" t="s">
        <v>49</v>
      </c>
      <c r="I70" s="10"/>
      <c r="J70" s="12">
        <v>5416.666666666667</v>
      </c>
      <c r="K70" s="13">
        <f t="shared" si="0"/>
        <v>0</v>
      </c>
      <c r="L70" s="9"/>
      <c r="M70" s="9"/>
    </row>
    <row r="71" spans="2:13" x14ac:dyDescent="0.3">
      <c r="B71" s="10">
        <v>61</v>
      </c>
      <c r="C71" s="10" t="s">
        <v>14</v>
      </c>
      <c r="D71" s="10" t="s">
        <v>24</v>
      </c>
      <c r="E71" s="10" t="s">
        <v>280</v>
      </c>
      <c r="F71" s="10" t="s">
        <v>16</v>
      </c>
      <c r="G71" s="11" t="s">
        <v>50</v>
      </c>
      <c r="H71" s="10" t="s">
        <v>42</v>
      </c>
      <c r="I71" s="10"/>
      <c r="J71" s="12">
        <v>5600</v>
      </c>
      <c r="K71" s="13">
        <f t="shared" si="0"/>
        <v>0</v>
      </c>
      <c r="L71" s="9"/>
      <c r="M71" s="9"/>
    </row>
    <row r="72" spans="2:13" x14ac:dyDescent="0.3">
      <c r="B72" s="10">
        <v>62</v>
      </c>
      <c r="C72" s="10" t="s">
        <v>14</v>
      </c>
      <c r="D72" s="10" t="s">
        <v>24</v>
      </c>
      <c r="E72" s="10" t="s">
        <v>280</v>
      </c>
      <c r="F72" s="10" t="s">
        <v>16</v>
      </c>
      <c r="G72" s="11" t="s">
        <v>284</v>
      </c>
      <c r="H72" s="10" t="s">
        <v>49</v>
      </c>
      <c r="I72" s="10"/>
      <c r="J72" s="12">
        <v>5416.666666666667</v>
      </c>
      <c r="K72" s="13">
        <f t="shared" si="0"/>
        <v>0</v>
      </c>
    </row>
    <row r="73" spans="2:13" x14ac:dyDescent="0.3">
      <c r="B73" s="10">
        <v>63</v>
      </c>
      <c r="C73" s="10" t="s">
        <v>14</v>
      </c>
      <c r="D73" s="10" t="s">
        <v>24</v>
      </c>
      <c r="E73" s="10" t="s">
        <v>280</v>
      </c>
      <c r="F73" s="10" t="s">
        <v>16</v>
      </c>
      <c r="G73" s="11" t="s">
        <v>51</v>
      </c>
      <c r="H73" s="10" t="s">
        <v>42</v>
      </c>
      <c r="I73" s="10"/>
      <c r="J73" s="12">
        <v>10000</v>
      </c>
      <c r="K73" s="13">
        <f t="shared" si="0"/>
        <v>0</v>
      </c>
      <c r="L73" s="9"/>
      <c r="M73" s="9"/>
    </row>
    <row r="74" spans="2:13" x14ac:dyDescent="0.3">
      <c r="B74" s="10">
        <v>64</v>
      </c>
      <c r="C74" s="10" t="s">
        <v>285</v>
      </c>
      <c r="D74" s="10" t="s">
        <v>286</v>
      </c>
      <c r="E74" s="10" t="s">
        <v>287</v>
      </c>
      <c r="F74" s="10"/>
      <c r="G74" s="11" t="s">
        <v>288</v>
      </c>
      <c r="H74" s="10" t="s">
        <v>289</v>
      </c>
      <c r="I74" s="10"/>
      <c r="J74" s="12">
        <v>630000</v>
      </c>
      <c r="K74" s="13">
        <f t="shared" si="0"/>
        <v>0</v>
      </c>
    </row>
    <row r="75" spans="2:13" x14ac:dyDescent="0.3">
      <c r="B75" s="10">
        <v>65</v>
      </c>
      <c r="C75" s="10" t="s">
        <v>285</v>
      </c>
      <c r="D75" s="10" t="s">
        <v>286</v>
      </c>
      <c r="E75" s="10" t="s">
        <v>287</v>
      </c>
      <c r="F75" s="10"/>
      <c r="G75" s="11" t="s">
        <v>290</v>
      </c>
      <c r="H75" s="10" t="s">
        <v>289</v>
      </c>
      <c r="I75" s="10"/>
      <c r="J75" s="12">
        <v>490000</v>
      </c>
      <c r="K75" s="13">
        <f t="shared" si="0"/>
        <v>0</v>
      </c>
    </row>
    <row r="76" spans="2:13" x14ac:dyDescent="0.3">
      <c r="B76" s="10">
        <v>66</v>
      </c>
      <c r="C76" s="10" t="s">
        <v>285</v>
      </c>
      <c r="D76" s="10" t="s">
        <v>286</v>
      </c>
      <c r="E76" s="10" t="s">
        <v>287</v>
      </c>
      <c r="F76" s="10"/>
      <c r="G76" s="11" t="s">
        <v>291</v>
      </c>
      <c r="H76" s="10" t="s">
        <v>289</v>
      </c>
      <c r="I76" s="10"/>
      <c r="J76" s="12">
        <v>690000</v>
      </c>
      <c r="K76" s="13">
        <f t="shared" si="0"/>
        <v>0</v>
      </c>
    </row>
    <row r="77" spans="2:13" x14ac:dyDescent="0.3">
      <c r="B77" s="10">
        <v>67</v>
      </c>
      <c r="C77" s="10" t="s">
        <v>285</v>
      </c>
      <c r="D77" s="10" t="s">
        <v>286</v>
      </c>
      <c r="E77" s="10" t="s">
        <v>287</v>
      </c>
      <c r="F77" s="10"/>
      <c r="G77" s="11" t="s">
        <v>292</v>
      </c>
      <c r="H77" s="10" t="s">
        <v>289</v>
      </c>
      <c r="I77" s="10"/>
      <c r="J77" s="12">
        <v>427000</v>
      </c>
      <c r="K77" s="13">
        <f t="shared" si="0"/>
        <v>0</v>
      </c>
    </row>
    <row r="78" spans="2:13" x14ac:dyDescent="0.3">
      <c r="B78" s="10">
        <v>68</v>
      </c>
      <c r="C78" s="10" t="s">
        <v>285</v>
      </c>
      <c r="D78" s="10" t="s">
        <v>286</v>
      </c>
      <c r="E78" s="10" t="s">
        <v>287</v>
      </c>
      <c r="F78" s="10"/>
      <c r="G78" s="11" t="s">
        <v>293</v>
      </c>
      <c r="H78" s="10" t="s">
        <v>289</v>
      </c>
      <c r="I78" s="10"/>
      <c r="J78" s="12">
        <v>690000</v>
      </c>
      <c r="K78" s="13">
        <f t="shared" si="0"/>
        <v>0</v>
      </c>
    </row>
    <row r="79" spans="2:13" x14ac:dyDescent="0.3">
      <c r="B79" s="10">
        <v>69</v>
      </c>
      <c r="C79" s="10" t="s">
        <v>285</v>
      </c>
      <c r="D79" s="10" t="s">
        <v>286</v>
      </c>
      <c r="E79" s="10" t="s">
        <v>287</v>
      </c>
      <c r="F79" s="10"/>
      <c r="G79" s="11" t="s">
        <v>294</v>
      </c>
      <c r="H79" s="10" t="s">
        <v>289</v>
      </c>
      <c r="I79" s="10"/>
      <c r="J79" s="12">
        <v>950000</v>
      </c>
      <c r="K79" s="13">
        <f t="shared" si="0"/>
        <v>0</v>
      </c>
    </row>
    <row r="80" spans="2:13" x14ac:dyDescent="0.3">
      <c r="B80" s="10">
        <v>70</v>
      </c>
      <c r="C80" s="10" t="s">
        <v>285</v>
      </c>
      <c r="D80" s="10" t="s">
        <v>286</v>
      </c>
      <c r="E80" s="10" t="s">
        <v>287</v>
      </c>
      <c r="F80" s="10"/>
      <c r="G80" s="11" t="s">
        <v>295</v>
      </c>
      <c r="H80" s="10" t="s">
        <v>289</v>
      </c>
      <c r="I80" s="10"/>
      <c r="J80" s="12">
        <v>1950000</v>
      </c>
      <c r="K80" s="13">
        <f t="shared" ref="K80:K143" si="1">J80*I80</f>
        <v>0</v>
      </c>
    </row>
    <row r="81" spans="2:11" x14ac:dyDescent="0.3">
      <c r="B81" s="10">
        <v>71</v>
      </c>
      <c r="C81" s="10" t="s">
        <v>285</v>
      </c>
      <c r="D81" s="10" t="s">
        <v>286</v>
      </c>
      <c r="E81" s="10" t="s">
        <v>287</v>
      </c>
      <c r="F81" s="10"/>
      <c r="G81" s="11" t="s">
        <v>296</v>
      </c>
      <c r="H81" s="10" t="s">
        <v>297</v>
      </c>
      <c r="I81" s="10"/>
      <c r="J81" s="12">
        <v>850000</v>
      </c>
      <c r="K81" s="13">
        <f t="shared" si="1"/>
        <v>0</v>
      </c>
    </row>
    <row r="82" spans="2:11" x14ac:dyDescent="0.3">
      <c r="B82" s="10">
        <v>72</v>
      </c>
      <c r="C82" s="10" t="s">
        <v>285</v>
      </c>
      <c r="D82" s="10" t="s">
        <v>286</v>
      </c>
      <c r="E82" s="10" t="s">
        <v>287</v>
      </c>
      <c r="F82" s="10"/>
      <c r="G82" s="11" t="s">
        <v>298</v>
      </c>
      <c r="H82" s="10" t="s">
        <v>297</v>
      </c>
      <c r="I82" s="10"/>
      <c r="J82" s="12">
        <v>360800</v>
      </c>
      <c r="K82" s="13">
        <f t="shared" si="1"/>
        <v>0</v>
      </c>
    </row>
    <row r="83" spans="2:11" x14ac:dyDescent="0.3">
      <c r="B83" s="10">
        <v>73</v>
      </c>
      <c r="C83" s="10" t="s">
        <v>285</v>
      </c>
      <c r="D83" s="10" t="s">
        <v>286</v>
      </c>
      <c r="E83" s="10" t="s">
        <v>287</v>
      </c>
      <c r="F83" s="10"/>
      <c r="G83" s="11" t="s">
        <v>299</v>
      </c>
      <c r="H83" s="10" t="s">
        <v>297</v>
      </c>
      <c r="I83" s="10"/>
      <c r="J83" s="12">
        <v>1350000</v>
      </c>
      <c r="K83" s="13">
        <f t="shared" si="1"/>
        <v>0</v>
      </c>
    </row>
    <row r="84" spans="2:11" x14ac:dyDescent="0.3">
      <c r="B84" s="10">
        <v>74</v>
      </c>
      <c r="C84" s="10" t="s">
        <v>285</v>
      </c>
      <c r="D84" s="10" t="s">
        <v>286</v>
      </c>
      <c r="E84" s="10" t="s">
        <v>287</v>
      </c>
      <c r="F84" s="10"/>
      <c r="G84" s="11" t="s">
        <v>300</v>
      </c>
      <c r="H84" s="10" t="s">
        <v>297</v>
      </c>
      <c r="I84" s="10"/>
      <c r="J84" s="12">
        <v>1350000</v>
      </c>
      <c r="K84" s="13">
        <f t="shared" si="1"/>
        <v>0</v>
      </c>
    </row>
    <row r="85" spans="2:11" x14ac:dyDescent="0.3">
      <c r="B85" s="10">
        <v>75</v>
      </c>
      <c r="C85" s="10" t="s">
        <v>285</v>
      </c>
      <c r="D85" s="10" t="s">
        <v>24</v>
      </c>
      <c r="E85" s="10" t="s">
        <v>287</v>
      </c>
      <c r="F85" s="10"/>
      <c r="G85" s="11" t="s">
        <v>301</v>
      </c>
      <c r="H85" s="10" t="s">
        <v>289</v>
      </c>
      <c r="I85" s="10"/>
      <c r="J85" s="12">
        <v>436000</v>
      </c>
      <c r="K85" s="13">
        <f t="shared" si="1"/>
        <v>0</v>
      </c>
    </row>
    <row r="86" spans="2:11" x14ac:dyDescent="0.3">
      <c r="B86" s="10">
        <v>76</v>
      </c>
      <c r="C86" s="10" t="s">
        <v>285</v>
      </c>
      <c r="D86" s="10" t="s">
        <v>24</v>
      </c>
      <c r="E86" s="10" t="s">
        <v>287</v>
      </c>
      <c r="F86" s="10"/>
      <c r="G86" s="11" t="s">
        <v>302</v>
      </c>
      <c r="H86" s="10" t="s">
        <v>289</v>
      </c>
      <c r="I86" s="10"/>
      <c r="J86" s="12">
        <v>1100000</v>
      </c>
      <c r="K86" s="13">
        <f t="shared" si="1"/>
        <v>0</v>
      </c>
    </row>
    <row r="87" spans="2:11" x14ac:dyDescent="0.3">
      <c r="B87" s="10">
        <v>77</v>
      </c>
      <c r="C87" s="10" t="s">
        <v>285</v>
      </c>
      <c r="D87" s="10" t="s">
        <v>24</v>
      </c>
      <c r="E87" s="10" t="s">
        <v>287</v>
      </c>
      <c r="F87" s="10"/>
      <c r="G87" s="11" t="s">
        <v>303</v>
      </c>
      <c r="H87" s="10" t="s">
        <v>289</v>
      </c>
      <c r="I87" s="10"/>
      <c r="J87" s="12">
        <v>1950000</v>
      </c>
      <c r="K87" s="13">
        <f t="shared" si="1"/>
        <v>0</v>
      </c>
    </row>
    <row r="88" spans="2:11" x14ac:dyDescent="0.3">
      <c r="B88" s="10">
        <v>78</v>
      </c>
      <c r="C88" s="10" t="s">
        <v>285</v>
      </c>
      <c r="D88" s="10" t="s">
        <v>24</v>
      </c>
      <c r="E88" s="10" t="s">
        <v>287</v>
      </c>
      <c r="F88" s="10"/>
      <c r="G88" s="11" t="s">
        <v>304</v>
      </c>
      <c r="H88" s="10" t="s">
        <v>289</v>
      </c>
      <c r="I88" s="10"/>
      <c r="J88" s="12">
        <v>650000</v>
      </c>
      <c r="K88" s="13">
        <f t="shared" si="1"/>
        <v>0</v>
      </c>
    </row>
    <row r="89" spans="2:11" x14ac:dyDescent="0.3">
      <c r="B89" s="10">
        <v>79</v>
      </c>
      <c r="C89" s="10" t="s">
        <v>285</v>
      </c>
      <c r="D89" s="10" t="s">
        <v>24</v>
      </c>
      <c r="E89" s="10" t="s">
        <v>287</v>
      </c>
      <c r="F89" s="10"/>
      <c r="G89" s="11" t="s">
        <v>305</v>
      </c>
      <c r="H89" s="10" t="s">
        <v>289</v>
      </c>
      <c r="I89" s="10"/>
      <c r="J89" s="12">
        <v>350000</v>
      </c>
      <c r="K89" s="13">
        <f t="shared" si="1"/>
        <v>0</v>
      </c>
    </row>
    <row r="90" spans="2:11" x14ac:dyDescent="0.3">
      <c r="B90" s="10">
        <v>80</v>
      </c>
      <c r="C90" s="10" t="s">
        <v>285</v>
      </c>
      <c r="D90" s="10" t="s">
        <v>286</v>
      </c>
      <c r="E90" s="10" t="s">
        <v>287</v>
      </c>
      <c r="F90" s="10"/>
      <c r="G90" s="11" t="s">
        <v>306</v>
      </c>
      <c r="H90" s="10" t="s">
        <v>297</v>
      </c>
      <c r="I90" s="10"/>
      <c r="J90" s="12">
        <v>116158.32857142859</v>
      </c>
      <c r="K90" s="13">
        <f t="shared" si="1"/>
        <v>0</v>
      </c>
    </row>
    <row r="91" spans="2:11" x14ac:dyDescent="0.3">
      <c r="B91" s="10">
        <v>81</v>
      </c>
      <c r="C91" s="10" t="s">
        <v>285</v>
      </c>
      <c r="D91" s="10" t="s">
        <v>286</v>
      </c>
      <c r="E91" s="10" t="s">
        <v>287</v>
      </c>
      <c r="F91" s="10"/>
      <c r="G91" s="11" t="s">
        <v>307</v>
      </c>
      <c r="H91" s="10" t="s">
        <v>297</v>
      </c>
      <c r="I91" s="10"/>
      <c r="J91" s="12">
        <v>189373.92857142858</v>
      </c>
      <c r="K91" s="13">
        <f t="shared" si="1"/>
        <v>0</v>
      </c>
    </row>
    <row r="92" spans="2:11" x14ac:dyDescent="0.3">
      <c r="B92" s="10">
        <v>82</v>
      </c>
      <c r="C92" s="10" t="s">
        <v>285</v>
      </c>
      <c r="D92" s="10" t="s">
        <v>286</v>
      </c>
      <c r="E92" s="10" t="s">
        <v>287</v>
      </c>
      <c r="F92" s="10"/>
      <c r="G92" s="11" t="s">
        <v>308</v>
      </c>
      <c r="H92" s="10" t="s">
        <v>297</v>
      </c>
      <c r="I92" s="10"/>
      <c r="J92" s="12">
        <v>217005</v>
      </c>
      <c r="K92" s="13">
        <f t="shared" si="1"/>
        <v>0</v>
      </c>
    </row>
    <row r="93" spans="2:11" x14ac:dyDescent="0.3">
      <c r="B93" s="10">
        <v>83</v>
      </c>
      <c r="C93" s="10" t="s">
        <v>285</v>
      </c>
      <c r="D93" s="10" t="s">
        <v>286</v>
      </c>
      <c r="E93" s="10" t="s">
        <v>287</v>
      </c>
      <c r="F93" s="10"/>
      <c r="G93" s="11" t="s">
        <v>309</v>
      </c>
      <c r="H93" s="10" t="s">
        <v>297</v>
      </c>
      <c r="I93" s="10"/>
      <c r="J93" s="12">
        <v>632425.80357142875</v>
      </c>
      <c r="K93" s="13">
        <f t="shared" si="1"/>
        <v>0</v>
      </c>
    </row>
    <row r="94" spans="2:11" x14ac:dyDescent="0.3">
      <c r="B94" s="10">
        <v>84</v>
      </c>
      <c r="C94" s="10" t="s">
        <v>285</v>
      </c>
      <c r="D94" s="10" t="s">
        <v>286</v>
      </c>
      <c r="E94" s="10" t="s">
        <v>287</v>
      </c>
      <c r="F94" s="10"/>
      <c r="G94" s="11" t="s">
        <v>310</v>
      </c>
      <c r="H94" s="10" t="s">
        <v>297</v>
      </c>
      <c r="I94" s="10"/>
      <c r="J94" s="12">
        <v>460300</v>
      </c>
      <c r="K94" s="13">
        <f t="shared" si="1"/>
        <v>0</v>
      </c>
    </row>
    <row r="95" spans="2:11" x14ac:dyDescent="0.3">
      <c r="B95" s="10">
        <v>85</v>
      </c>
      <c r="C95" s="10" t="s">
        <v>285</v>
      </c>
      <c r="D95" s="10" t="s">
        <v>286</v>
      </c>
      <c r="E95" s="10" t="s">
        <v>287</v>
      </c>
      <c r="F95" s="10"/>
      <c r="G95" s="11" t="s">
        <v>311</v>
      </c>
      <c r="H95" s="10" t="s">
        <v>297</v>
      </c>
      <c r="I95" s="10"/>
      <c r="J95" s="12">
        <v>2924850.0000000005</v>
      </c>
      <c r="K95" s="13">
        <f t="shared" si="1"/>
        <v>0</v>
      </c>
    </row>
    <row r="96" spans="2:11" x14ac:dyDescent="0.3">
      <c r="B96" s="10">
        <v>86</v>
      </c>
      <c r="C96" s="10" t="s">
        <v>285</v>
      </c>
      <c r="D96" s="10" t="s">
        <v>286</v>
      </c>
      <c r="E96" s="10" t="s">
        <v>287</v>
      </c>
      <c r="F96" s="10"/>
      <c r="G96" s="11" t="s">
        <v>312</v>
      </c>
      <c r="H96" s="10" t="s">
        <v>297</v>
      </c>
      <c r="I96" s="10"/>
      <c r="J96" s="12">
        <v>19305393.230769232</v>
      </c>
      <c r="K96" s="13">
        <f t="shared" si="1"/>
        <v>0</v>
      </c>
    </row>
    <row r="97" spans="2:11" x14ac:dyDescent="0.3">
      <c r="B97" s="10">
        <v>87</v>
      </c>
      <c r="C97" s="10" t="s">
        <v>285</v>
      </c>
      <c r="D97" s="10" t="s">
        <v>286</v>
      </c>
      <c r="E97" s="10" t="s">
        <v>287</v>
      </c>
      <c r="F97" s="10"/>
      <c r="G97" s="11" t="s">
        <v>313</v>
      </c>
      <c r="H97" s="10" t="s">
        <v>297</v>
      </c>
      <c r="I97" s="10"/>
      <c r="J97" s="12">
        <v>192069.64285714287</v>
      </c>
      <c r="K97" s="13">
        <f t="shared" si="1"/>
        <v>0</v>
      </c>
    </row>
    <row r="98" spans="2:11" x14ac:dyDescent="0.3">
      <c r="B98" s="10">
        <v>88</v>
      </c>
      <c r="C98" s="10" t="s">
        <v>285</v>
      </c>
      <c r="D98" s="10" t="s">
        <v>286</v>
      </c>
      <c r="E98" s="10" t="s">
        <v>287</v>
      </c>
      <c r="F98" s="10"/>
      <c r="G98" s="11" t="s">
        <v>314</v>
      </c>
      <c r="H98" s="10" t="s">
        <v>297</v>
      </c>
      <c r="I98" s="10"/>
      <c r="J98" s="12">
        <v>228866.1428571429</v>
      </c>
      <c r="K98" s="13">
        <f t="shared" si="1"/>
        <v>0</v>
      </c>
    </row>
    <row r="99" spans="2:11" x14ac:dyDescent="0.3">
      <c r="B99" s="10">
        <v>89</v>
      </c>
      <c r="C99" s="10" t="s">
        <v>285</v>
      </c>
      <c r="D99" s="10" t="s">
        <v>286</v>
      </c>
      <c r="E99" s="10" t="s">
        <v>287</v>
      </c>
      <c r="F99" s="10"/>
      <c r="G99" s="11" t="s">
        <v>315</v>
      </c>
      <c r="H99" s="10" t="s">
        <v>297</v>
      </c>
      <c r="I99" s="10"/>
      <c r="J99" s="12">
        <v>9018.461538461539</v>
      </c>
      <c r="K99" s="13">
        <f t="shared" si="1"/>
        <v>0</v>
      </c>
    </row>
    <row r="100" spans="2:11" x14ac:dyDescent="0.3">
      <c r="B100" s="10">
        <v>90</v>
      </c>
      <c r="C100" s="10" t="s">
        <v>285</v>
      </c>
      <c r="D100" s="10" t="s">
        <v>286</v>
      </c>
      <c r="E100" s="10" t="s">
        <v>287</v>
      </c>
      <c r="F100" s="10"/>
      <c r="G100" s="11" t="s">
        <v>316</v>
      </c>
      <c r="H100" s="10" t="s">
        <v>297</v>
      </c>
      <c r="I100" s="10"/>
      <c r="J100" s="12">
        <v>51380.314285714288</v>
      </c>
      <c r="K100" s="13">
        <f t="shared" si="1"/>
        <v>0</v>
      </c>
    </row>
    <row r="101" spans="2:11" x14ac:dyDescent="0.3">
      <c r="B101" s="10">
        <v>91</v>
      </c>
      <c r="C101" s="10" t="s">
        <v>285</v>
      </c>
      <c r="D101" s="10" t="s">
        <v>286</v>
      </c>
      <c r="E101" s="10" t="s">
        <v>287</v>
      </c>
      <c r="F101" s="10"/>
      <c r="G101" s="11" t="s">
        <v>317</v>
      </c>
      <c r="H101" s="10" t="s">
        <v>297</v>
      </c>
      <c r="I101" s="10"/>
      <c r="J101" s="12">
        <v>52369.421428571397</v>
      </c>
      <c r="K101" s="13">
        <f t="shared" si="1"/>
        <v>0</v>
      </c>
    </row>
    <row r="102" spans="2:11" x14ac:dyDescent="0.3">
      <c r="B102" s="10">
        <v>92</v>
      </c>
      <c r="C102" s="10" t="s">
        <v>285</v>
      </c>
      <c r="D102" s="10" t="s">
        <v>286</v>
      </c>
      <c r="E102" s="10" t="s">
        <v>287</v>
      </c>
      <c r="F102" s="10"/>
      <c r="G102" s="11" t="s">
        <v>318</v>
      </c>
      <c r="H102" s="10" t="s">
        <v>297</v>
      </c>
      <c r="I102" s="10"/>
      <c r="J102" s="12">
        <v>68134.17857142858</v>
      </c>
      <c r="K102" s="13">
        <f t="shared" si="1"/>
        <v>0</v>
      </c>
    </row>
    <row r="103" spans="2:11" x14ac:dyDescent="0.3">
      <c r="B103" s="10">
        <v>93</v>
      </c>
      <c r="C103" s="10" t="s">
        <v>285</v>
      </c>
      <c r="D103" s="10" t="s">
        <v>286</v>
      </c>
      <c r="E103" s="10" t="s">
        <v>287</v>
      </c>
      <c r="F103" s="10"/>
      <c r="G103" s="11" t="s">
        <v>319</v>
      </c>
      <c r="H103" s="10" t="s">
        <v>297</v>
      </c>
      <c r="I103" s="10"/>
      <c r="J103" s="12">
        <v>116158.32857142859</v>
      </c>
      <c r="K103" s="13">
        <f t="shared" si="1"/>
        <v>0</v>
      </c>
    </row>
    <row r="104" spans="2:11" x14ac:dyDescent="0.3">
      <c r="B104" s="10">
        <v>94</v>
      </c>
      <c r="C104" s="10" t="s">
        <v>285</v>
      </c>
      <c r="D104" s="10" t="s">
        <v>286</v>
      </c>
      <c r="E104" s="10" t="s">
        <v>287</v>
      </c>
      <c r="F104" s="10"/>
      <c r="G104" s="11" t="s">
        <v>320</v>
      </c>
      <c r="H104" s="10" t="s">
        <v>297</v>
      </c>
      <c r="I104" s="10"/>
      <c r="J104" s="12">
        <v>189373.92857142858</v>
      </c>
      <c r="K104" s="13">
        <f t="shared" si="1"/>
        <v>0</v>
      </c>
    </row>
    <row r="105" spans="2:11" x14ac:dyDescent="0.3">
      <c r="B105" s="10">
        <v>95</v>
      </c>
      <c r="C105" s="10" t="s">
        <v>285</v>
      </c>
      <c r="D105" s="10" t="s">
        <v>286</v>
      </c>
      <c r="E105" s="10" t="s">
        <v>287</v>
      </c>
      <c r="F105" s="10"/>
      <c r="G105" s="11" t="s">
        <v>321</v>
      </c>
      <c r="H105" s="10" t="s">
        <v>297</v>
      </c>
      <c r="I105" s="10"/>
      <c r="J105" s="12">
        <v>17926436.571428575</v>
      </c>
      <c r="K105" s="13">
        <f t="shared" si="1"/>
        <v>0</v>
      </c>
    </row>
    <row r="106" spans="2:11" x14ac:dyDescent="0.3">
      <c r="B106" s="10">
        <v>96</v>
      </c>
      <c r="C106" s="10" t="s">
        <v>285</v>
      </c>
      <c r="D106" s="10" t="s">
        <v>286</v>
      </c>
      <c r="E106" s="10" t="s">
        <v>287</v>
      </c>
      <c r="F106" s="10"/>
      <c r="G106" s="11" t="s">
        <v>322</v>
      </c>
      <c r="H106" s="10" t="s">
        <v>297</v>
      </c>
      <c r="I106" s="10"/>
      <c r="J106" s="12">
        <v>15178219.285714289</v>
      </c>
      <c r="K106" s="13">
        <f t="shared" si="1"/>
        <v>0</v>
      </c>
    </row>
    <row r="107" spans="2:11" x14ac:dyDescent="0.3">
      <c r="B107" s="10">
        <v>97</v>
      </c>
      <c r="C107" s="10" t="s">
        <v>323</v>
      </c>
      <c r="D107" s="10" t="s">
        <v>286</v>
      </c>
      <c r="E107" s="10" t="s">
        <v>287</v>
      </c>
      <c r="F107" s="10"/>
      <c r="G107" s="11" t="s">
        <v>324</v>
      </c>
      <c r="H107" s="10" t="s">
        <v>289</v>
      </c>
      <c r="I107" s="10"/>
      <c r="J107" s="12">
        <v>209000</v>
      </c>
      <c r="K107" s="13">
        <f t="shared" si="1"/>
        <v>0</v>
      </c>
    </row>
    <row r="108" spans="2:11" x14ac:dyDescent="0.3">
      <c r="B108" s="10">
        <v>98</v>
      </c>
      <c r="C108" s="10" t="s">
        <v>323</v>
      </c>
      <c r="D108" s="10" t="s">
        <v>286</v>
      </c>
      <c r="E108" s="10" t="s">
        <v>287</v>
      </c>
      <c r="F108" s="10"/>
      <c r="G108" s="11" t="s">
        <v>325</v>
      </c>
      <c r="H108" s="10" t="s">
        <v>289</v>
      </c>
      <c r="I108" s="10"/>
      <c r="J108" s="12">
        <v>178600</v>
      </c>
      <c r="K108" s="13">
        <f t="shared" si="1"/>
        <v>0</v>
      </c>
    </row>
    <row r="109" spans="2:11" x14ac:dyDescent="0.3">
      <c r="B109" s="10">
        <v>99</v>
      </c>
      <c r="C109" s="10" t="s">
        <v>323</v>
      </c>
      <c r="D109" s="10" t="s">
        <v>24</v>
      </c>
      <c r="E109" s="10" t="s">
        <v>287</v>
      </c>
      <c r="F109" s="10"/>
      <c r="G109" s="11" t="s">
        <v>326</v>
      </c>
      <c r="H109" s="10" t="s">
        <v>289</v>
      </c>
      <c r="I109" s="10"/>
      <c r="J109" s="12">
        <v>195000</v>
      </c>
      <c r="K109" s="13">
        <f t="shared" si="1"/>
        <v>0</v>
      </c>
    </row>
    <row r="110" spans="2:11" x14ac:dyDescent="0.3">
      <c r="B110" s="10">
        <v>100</v>
      </c>
      <c r="C110" s="10" t="s">
        <v>323</v>
      </c>
      <c r="D110" s="10" t="s">
        <v>286</v>
      </c>
      <c r="E110" s="10" t="s">
        <v>287</v>
      </c>
      <c r="F110" s="10"/>
      <c r="G110" s="11" t="s">
        <v>327</v>
      </c>
      <c r="H110" s="10" t="s">
        <v>289</v>
      </c>
      <c r="I110" s="10"/>
      <c r="J110" s="12">
        <v>650000</v>
      </c>
      <c r="K110" s="13">
        <f t="shared" si="1"/>
        <v>0</v>
      </c>
    </row>
    <row r="111" spans="2:11" x14ac:dyDescent="0.3">
      <c r="B111" s="10">
        <v>101</v>
      </c>
      <c r="C111" s="10" t="s">
        <v>323</v>
      </c>
      <c r="D111" s="10" t="s">
        <v>286</v>
      </c>
      <c r="E111" s="10" t="s">
        <v>287</v>
      </c>
      <c r="F111" s="10"/>
      <c r="G111" s="11" t="s">
        <v>328</v>
      </c>
      <c r="H111" s="10" t="s">
        <v>289</v>
      </c>
      <c r="I111" s="10"/>
      <c r="J111" s="12">
        <v>960000</v>
      </c>
      <c r="K111" s="13">
        <f t="shared" si="1"/>
        <v>0</v>
      </c>
    </row>
    <row r="112" spans="2:11" x14ac:dyDescent="0.3">
      <c r="B112" s="10">
        <v>102</v>
      </c>
      <c r="C112" s="10" t="s">
        <v>323</v>
      </c>
      <c r="D112" s="10" t="s">
        <v>286</v>
      </c>
      <c r="E112" s="10" t="s">
        <v>287</v>
      </c>
      <c r="F112" s="10"/>
      <c r="G112" s="11" t="s">
        <v>329</v>
      </c>
      <c r="H112" s="10" t="s">
        <v>289</v>
      </c>
      <c r="I112" s="10"/>
      <c r="J112" s="12">
        <v>1650000</v>
      </c>
      <c r="K112" s="13">
        <f t="shared" si="1"/>
        <v>0</v>
      </c>
    </row>
    <row r="113" spans="2:11" x14ac:dyDescent="0.3">
      <c r="B113" s="10">
        <v>103</v>
      </c>
      <c r="C113" s="10" t="s">
        <v>323</v>
      </c>
      <c r="D113" s="10" t="s">
        <v>24</v>
      </c>
      <c r="E113" s="10" t="s">
        <v>287</v>
      </c>
      <c r="F113" s="10"/>
      <c r="G113" s="11" t="s">
        <v>330</v>
      </c>
      <c r="H113" s="10" t="s">
        <v>289</v>
      </c>
      <c r="I113" s="10"/>
      <c r="J113" s="12">
        <v>750000</v>
      </c>
      <c r="K113" s="13">
        <f t="shared" si="1"/>
        <v>0</v>
      </c>
    </row>
    <row r="114" spans="2:11" x14ac:dyDescent="0.3">
      <c r="B114" s="10">
        <v>104</v>
      </c>
      <c r="C114" s="10" t="s">
        <v>331</v>
      </c>
      <c r="D114" s="10" t="s">
        <v>24</v>
      </c>
      <c r="E114" s="10" t="s">
        <v>332</v>
      </c>
      <c r="F114" s="10"/>
      <c r="G114" s="11" t="s">
        <v>333</v>
      </c>
      <c r="H114" s="10" t="s">
        <v>297</v>
      </c>
      <c r="I114" s="10"/>
      <c r="J114" s="12">
        <v>80620</v>
      </c>
      <c r="K114" s="13">
        <f t="shared" si="1"/>
        <v>0</v>
      </c>
    </row>
    <row r="115" spans="2:11" x14ac:dyDescent="0.3">
      <c r="B115" s="10">
        <v>105</v>
      </c>
      <c r="C115" s="10" t="s">
        <v>331</v>
      </c>
      <c r="D115" s="10" t="s">
        <v>286</v>
      </c>
      <c r="E115" s="10" t="s">
        <v>334</v>
      </c>
      <c r="F115" s="10"/>
      <c r="G115" s="11" t="s">
        <v>335</v>
      </c>
      <c r="H115" s="10" t="s">
        <v>297</v>
      </c>
      <c r="I115" s="10"/>
      <c r="J115" s="12">
        <v>29990</v>
      </c>
      <c r="K115" s="13">
        <f t="shared" si="1"/>
        <v>0</v>
      </c>
    </row>
    <row r="116" spans="2:11" x14ac:dyDescent="0.3">
      <c r="B116" s="10">
        <v>106</v>
      </c>
      <c r="C116" s="10" t="s">
        <v>331</v>
      </c>
      <c r="D116" s="10" t="s">
        <v>286</v>
      </c>
      <c r="E116" s="10" t="s">
        <v>334</v>
      </c>
      <c r="F116" s="10"/>
      <c r="G116" s="11" t="s">
        <v>336</v>
      </c>
      <c r="H116" s="10" t="s">
        <v>297</v>
      </c>
      <c r="I116" s="10"/>
      <c r="J116" s="12">
        <v>313200</v>
      </c>
      <c r="K116" s="13">
        <f t="shared" si="1"/>
        <v>0</v>
      </c>
    </row>
    <row r="117" spans="2:11" x14ac:dyDescent="0.3">
      <c r="B117" s="10">
        <v>107</v>
      </c>
      <c r="C117" s="10" t="s">
        <v>331</v>
      </c>
      <c r="D117" s="10" t="s">
        <v>286</v>
      </c>
      <c r="E117" s="10" t="s">
        <v>334</v>
      </c>
      <c r="F117" s="10"/>
      <c r="G117" s="11" t="s">
        <v>337</v>
      </c>
      <c r="H117" s="10" t="s">
        <v>297</v>
      </c>
      <c r="I117" s="10"/>
      <c r="J117" s="12">
        <v>11770</v>
      </c>
      <c r="K117" s="13">
        <f t="shared" si="1"/>
        <v>0</v>
      </c>
    </row>
    <row r="118" spans="2:11" x14ac:dyDescent="0.3">
      <c r="B118" s="10">
        <v>108</v>
      </c>
      <c r="C118" s="10" t="s">
        <v>331</v>
      </c>
      <c r="D118" s="10" t="s">
        <v>286</v>
      </c>
      <c r="E118" s="10" t="s">
        <v>334</v>
      </c>
      <c r="F118" s="10"/>
      <c r="G118" s="11" t="s">
        <v>338</v>
      </c>
      <c r="H118" s="10" t="s">
        <v>297</v>
      </c>
      <c r="I118" s="10"/>
      <c r="J118" s="12">
        <v>11770</v>
      </c>
      <c r="K118" s="13">
        <f t="shared" si="1"/>
        <v>0</v>
      </c>
    </row>
    <row r="119" spans="2:11" x14ac:dyDescent="0.3">
      <c r="B119" s="10">
        <v>109</v>
      </c>
      <c r="C119" s="10" t="s">
        <v>331</v>
      </c>
      <c r="D119" s="10" t="s">
        <v>286</v>
      </c>
      <c r="E119" s="10" t="s">
        <v>334</v>
      </c>
      <c r="F119" s="10"/>
      <c r="G119" s="11" t="s">
        <v>339</v>
      </c>
      <c r="H119" s="10" t="s">
        <v>297</v>
      </c>
      <c r="I119" s="10"/>
      <c r="J119" s="12">
        <v>11480</v>
      </c>
      <c r="K119" s="13">
        <f t="shared" si="1"/>
        <v>0</v>
      </c>
    </row>
    <row r="120" spans="2:11" x14ac:dyDescent="0.3">
      <c r="B120" s="10">
        <v>110</v>
      </c>
      <c r="C120" s="10" t="s">
        <v>331</v>
      </c>
      <c r="D120" s="10" t="s">
        <v>286</v>
      </c>
      <c r="E120" s="10" t="s">
        <v>334</v>
      </c>
      <c r="F120" s="10"/>
      <c r="G120" s="11" t="s">
        <v>340</v>
      </c>
      <c r="H120" s="10" t="s">
        <v>297</v>
      </c>
      <c r="I120" s="10"/>
      <c r="J120" s="12">
        <v>11480</v>
      </c>
      <c r="K120" s="13">
        <f t="shared" si="1"/>
        <v>0</v>
      </c>
    </row>
    <row r="121" spans="2:11" x14ac:dyDescent="0.3">
      <c r="B121" s="10">
        <v>111</v>
      </c>
      <c r="C121" s="10" t="s">
        <v>331</v>
      </c>
      <c r="D121" s="10" t="s">
        <v>286</v>
      </c>
      <c r="E121" s="10" t="s">
        <v>334</v>
      </c>
      <c r="F121" s="10"/>
      <c r="G121" s="11" t="s">
        <v>341</v>
      </c>
      <c r="H121" s="10" t="s">
        <v>297</v>
      </c>
      <c r="I121" s="10"/>
      <c r="J121" s="12">
        <v>19840</v>
      </c>
      <c r="K121" s="13">
        <f t="shared" si="1"/>
        <v>0</v>
      </c>
    </row>
    <row r="122" spans="2:11" x14ac:dyDescent="0.3">
      <c r="B122" s="10">
        <v>112</v>
      </c>
      <c r="C122" s="10" t="s">
        <v>331</v>
      </c>
      <c r="D122" s="10" t="s">
        <v>286</v>
      </c>
      <c r="E122" s="10" t="s">
        <v>334</v>
      </c>
      <c r="F122" s="10"/>
      <c r="G122" s="11" t="s">
        <v>342</v>
      </c>
      <c r="H122" s="10" t="s">
        <v>297</v>
      </c>
      <c r="I122" s="10"/>
      <c r="J122" s="12">
        <v>183680</v>
      </c>
      <c r="K122" s="13">
        <f t="shared" si="1"/>
        <v>0</v>
      </c>
    </row>
    <row r="123" spans="2:11" x14ac:dyDescent="0.3">
      <c r="B123" s="10">
        <v>113</v>
      </c>
      <c r="C123" s="10" t="s">
        <v>331</v>
      </c>
      <c r="D123" s="10" t="s">
        <v>286</v>
      </c>
      <c r="E123" s="10" t="s">
        <v>334</v>
      </c>
      <c r="F123" s="10"/>
      <c r="G123" s="11" t="s">
        <v>343</v>
      </c>
      <c r="H123" s="10" t="s">
        <v>297</v>
      </c>
      <c r="I123" s="10"/>
      <c r="J123" s="12">
        <v>9630</v>
      </c>
      <c r="K123" s="13">
        <f t="shared" si="1"/>
        <v>0</v>
      </c>
    </row>
    <row r="124" spans="2:11" x14ac:dyDescent="0.3">
      <c r="B124" s="10">
        <v>114</v>
      </c>
      <c r="C124" s="10" t="s">
        <v>331</v>
      </c>
      <c r="D124" s="10" t="s">
        <v>286</v>
      </c>
      <c r="E124" s="10" t="s">
        <v>334</v>
      </c>
      <c r="F124" s="10"/>
      <c r="G124" s="11" t="s">
        <v>344</v>
      </c>
      <c r="H124" s="10" t="s">
        <v>297</v>
      </c>
      <c r="I124" s="10"/>
      <c r="J124" s="12">
        <v>29990</v>
      </c>
      <c r="K124" s="13">
        <f t="shared" si="1"/>
        <v>0</v>
      </c>
    </row>
    <row r="125" spans="2:11" x14ac:dyDescent="0.3">
      <c r="B125" s="10">
        <v>115</v>
      </c>
      <c r="C125" s="10" t="s">
        <v>331</v>
      </c>
      <c r="D125" s="10" t="s">
        <v>286</v>
      </c>
      <c r="E125" s="10" t="s">
        <v>334</v>
      </c>
      <c r="F125" s="10"/>
      <c r="G125" s="11" t="s">
        <v>345</v>
      </c>
      <c r="H125" s="10" t="s">
        <v>297</v>
      </c>
      <c r="I125" s="10"/>
      <c r="J125" s="12">
        <v>313200</v>
      </c>
      <c r="K125" s="13">
        <f t="shared" si="1"/>
        <v>0</v>
      </c>
    </row>
    <row r="126" spans="2:11" x14ac:dyDescent="0.3">
      <c r="B126" s="10">
        <v>116</v>
      </c>
      <c r="C126" s="10" t="s">
        <v>331</v>
      </c>
      <c r="D126" s="10" t="s">
        <v>286</v>
      </c>
      <c r="E126" s="10" t="s">
        <v>334</v>
      </c>
      <c r="F126" s="10"/>
      <c r="G126" s="11" t="s">
        <v>346</v>
      </c>
      <c r="H126" s="10" t="s">
        <v>297</v>
      </c>
      <c r="I126" s="10"/>
      <c r="J126" s="12">
        <v>11770</v>
      </c>
      <c r="K126" s="13">
        <f t="shared" si="1"/>
        <v>0</v>
      </c>
    </row>
    <row r="127" spans="2:11" x14ac:dyDescent="0.3">
      <c r="B127" s="10">
        <v>117</v>
      </c>
      <c r="C127" s="10" t="s">
        <v>331</v>
      </c>
      <c r="D127" s="10" t="s">
        <v>286</v>
      </c>
      <c r="E127" s="10" t="s">
        <v>334</v>
      </c>
      <c r="F127" s="10"/>
      <c r="G127" s="11" t="s">
        <v>347</v>
      </c>
      <c r="H127" s="10" t="s">
        <v>297</v>
      </c>
      <c r="I127" s="10"/>
      <c r="J127" s="12">
        <v>11770</v>
      </c>
      <c r="K127" s="13">
        <f t="shared" si="1"/>
        <v>0</v>
      </c>
    </row>
    <row r="128" spans="2:11" x14ac:dyDescent="0.3">
      <c r="B128" s="10">
        <v>118</v>
      </c>
      <c r="C128" s="10" t="s">
        <v>331</v>
      </c>
      <c r="D128" s="10" t="s">
        <v>286</v>
      </c>
      <c r="E128" s="10" t="s">
        <v>334</v>
      </c>
      <c r="F128" s="10"/>
      <c r="G128" s="11" t="s">
        <v>348</v>
      </c>
      <c r="H128" s="10" t="s">
        <v>297</v>
      </c>
      <c r="I128" s="10"/>
      <c r="J128" s="12">
        <v>11480</v>
      </c>
      <c r="K128" s="13">
        <f t="shared" si="1"/>
        <v>0</v>
      </c>
    </row>
    <row r="129" spans="2:11" x14ac:dyDescent="0.3">
      <c r="B129" s="10">
        <v>119</v>
      </c>
      <c r="C129" s="10" t="s">
        <v>331</v>
      </c>
      <c r="D129" s="10" t="s">
        <v>286</v>
      </c>
      <c r="E129" s="10" t="s">
        <v>334</v>
      </c>
      <c r="F129" s="10"/>
      <c r="G129" s="11" t="s">
        <v>349</v>
      </c>
      <c r="H129" s="10" t="s">
        <v>297</v>
      </c>
      <c r="I129" s="10"/>
      <c r="J129" s="12">
        <v>29990</v>
      </c>
      <c r="K129" s="13">
        <f t="shared" si="1"/>
        <v>0</v>
      </c>
    </row>
    <row r="130" spans="2:11" x14ac:dyDescent="0.3">
      <c r="B130" s="10">
        <v>120</v>
      </c>
      <c r="C130" s="10" t="s">
        <v>331</v>
      </c>
      <c r="D130" s="10" t="s">
        <v>286</v>
      </c>
      <c r="E130" s="10" t="s">
        <v>334</v>
      </c>
      <c r="F130" s="10"/>
      <c r="G130" s="11" t="s">
        <v>350</v>
      </c>
      <c r="H130" s="10" t="s">
        <v>297</v>
      </c>
      <c r="I130" s="10"/>
      <c r="J130" s="12">
        <v>168840</v>
      </c>
      <c r="K130" s="13">
        <f t="shared" si="1"/>
        <v>0</v>
      </c>
    </row>
    <row r="131" spans="2:11" x14ac:dyDescent="0.3">
      <c r="B131" s="10">
        <v>121</v>
      </c>
      <c r="C131" s="10" t="s">
        <v>331</v>
      </c>
      <c r="D131" s="10" t="s">
        <v>286</v>
      </c>
      <c r="E131" s="10" t="s">
        <v>334</v>
      </c>
      <c r="F131" s="10"/>
      <c r="G131" s="11" t="s">
        <v>351</v>
      </c>
      <c r="H131" s="10" t="s">
        <v>297</v>
      </c>
      <c r="I131" s="10"/>
      <c r="J131" s="12">
        <v>11770</v>
      </c>
      <c r="K131" s="13">
        <f t="shared" si="1"/>
        <v>0</v>
      </c>
    </row>
    <row r="132" spans="2:11" x14ac:dyDescent="0.3">
      <c r="B132" s="10">
        <v>122</v>
      </c>
      <c r="C132" s="10" t="s">
        <v>331</v>
      </c>
      <c r="D132" s="10" t="s">
        <v>286</v>
      </c>
      <c r="E132" s="10" t="s">
        <v>334</v>
      </c>
      <c r="F132" s="10"/>
      <c r="G132" s="11" t="s">
        <v>352</v>
      </c>
      <c r="H132" s="10" t="s">
        <v>297</v>
      </c>
      <c r="I132" s="10"/>
      <c r="J132" s="12">
        <v>11770</v>
      </c>
      <c r="K132" s="13">
        <f t="shared" si="1"/>
        <v>0</v>
      </c>
    </row>
    <row r="133" spans="2:11" x14ac:dyDescent="0.3">
      <c r="B133" s="10">
        <v>123</v>
      </c>
      <c r="C133" s="10" t="s">
        <v>331</v>
      </c>
      <c r="D133" s="10" t="s">
        <v>286</v>
      </c>
      <c r="E133" s="10" t="s">
        <v>334</v>
      </c>
      <c r="F133" s="10"/>
      <c r="G133" s="11" t="s">
        <v>353</v>
      </c>
      <c r="H133" s="10" t="s">
        <v>297</v>
      </c>
      <c r="I133" s="10"/>
      <c r="J133" s="12">
        <v>11480</v>
      </c>
      <c r="K133" s="13">
        <f t="shared" si="1"/>
        <v>0</v>
      </c>
    </row>
    <row r="134" spans="2:11" x14ac:dyDescent="0.3">
      <c r="B134" s="10">
        <v>124</v>
      </c>
      <c r="C134" s="10" t="s">
        <v>331</v>
      </c>
      <c r="D134" s="10" t="s">
        <v>286</v>
      </c>
      <c r="E134" s="10" t="s">
        <v>334</v>
      </c>
      <c r="F134" s="10"/>
      <c r="G134" s="11" t="s">
        <v>354</v>
      </c>
      <c r="H134" s="10" t="s">
        <v>297</v>
      </c>
      <c r="I134" s="10"/>
      <c r="J134" s="12">
        <v>19840</v>
      </c>
      <c r="K134" s="13">
        <f t="shared" si="1"/>
        <v>0</v>
      </c>
    </row>
    <row r="135" spans="2:11" x14ac:dyDescent="0.3">
      <c r="B135" s="10">
        <v>125</v>
      </c>
      <c r="C135" s="10" t="s">
        <v>331</v>
      </c>
      <c r="D135" s="10" t="s">
        <v>286</v>
      </c>
      <c r="E135" s="10" t="s">
        <v>334</v>
      </c>
      <c r="F135" s="10"/>
      <c r="G135" s="11" t="s">
        <v>355</v>
      </c>
      <c r="H135" s="10" t="s">
        <v>297</v>
      </c>
      <c r="I135" s="10"/>
      <c r="J135" s="12">
        <v>247260</v>
      </c>
      <c r="K135" s="13">
        <f t="shared" si="1"/>
        <v>0</v>
      </c>
    </row>
    <row r="136" spans="2:11" x14ac:dyDescent="0.3">
      <c r="B136" s="10">
        <v>126</v>
      </c>
      <c r="C136" s="10" t="s">
        <v>331</v>
      </c>
      <c r="D136" s="10" t="s">
        <v>286</v>
      </c>
      <c r="E136" s="10" t="s">
        <v>334</v>
      </c>
      <c r="F136" s="10"/>
      <c r="G136" s="11" t="s">
        <v>356</v>
      </c>
      <c r="H136" s="10" t="s">
        <v>297</v>
      </c>
      <c r="I136" s="10"/>
      <c r="J136" s="12">
        <v>9630</v>
      </c>
      <c r="K136" s="13">
        <f t="shared" si="1"/>
        <v>0</v>
      </c>
    </row>
    <row r="137" spans="2:11" x14ac:dyDescent="0.3">
      <c r="B137" s="10">
        <v>127</v>
      </c>
      <c r="C137" s="10" t="s">
        <v>331</v>
      </c>
      <c r="D137" s="10" t="s">
        <v>286</v>
      </c>
      <c r="E137" s="10" t="s">
        <v>334</v>
      </c>
      <c r="F137" s="10"/>
      <c r="G137" s="11" t="s">
        <v>357</v>
      </c>
      <c r="H137" s="10" t="s">
        <v>297</v>
      </c>
      <c r="I137" s="10"/>
      <c r="J137" s="12">
        <v>46690</v>
      </c>
      <c r="K137" s="13">
        <f t="shared" si="1"/>
        <v>0</v>
      </c>
    </row>
    <row r="138" spans="2:11" x14ac:dyDescent="0.3">
      <c r="B138" s="10">
        <v>128</v>
      </c>
      <c r="C138" s="10" t="s">
        <v>331</v>
      </c>
      <c r="D138" s="10" t="s">
        <v>286</v>
      </c>
      <c r="E138" s="10" t="s">
        <v>334</v>
      </c>
      <c r="F138" s="10"/>
      <c r="G138" s="11" t="s">
        <v>358</v>
      </c>
      <c r="H138" s="10" t="s">
        <v>297</v>
      </c>
      <c r="I138" s="10"/>
      <c r="J138" s="12">
        <v>259040</v>
      </c>
      <c r="K138" s="13">
        <f t="shared" si="1"/>
        <v>0</v>
      </c>
    </row>
    <row r="139" spans="2:11" x14ac:dyDescent="0.3">
      <c r="B139" s="10">
        <v>129</v>
      </c>
      <c r="C139" s="10" t="s">
        <v>331</v>
      </c>
      <c r="D139" s="10" t="s">
        <v>286</v>
      </c>
      <c r="E139" s="10" t="s">
        <v>334</v>
      </c>
      <c r="F139" s="10"/>
      <c r="G139" s="11" t="s">
        <v>359</v>
      </c>
      <c r="H139" s="10" t="s">
        <v>297</v>
      </c>
      <c r="I139" s="10"/>
      <c r="J139" s="12">
        <v>18370</v>
      </c>
      <c r="K139" s="13">
        <f t="shared" si="1"/>
        <v>0</v>
      </c>
    </row>
    <row r="140" spans="2:11" x14ac:dyDescent="0.3">
      <c r="B140" s="10">
        <v>130</v>
      </c>
      <c r="C140" s="10" t="s">
        <v>331</v>
      </c>
      <c r="D140" s="10" t="s">
        <v>286</v>
      </c>
      <c r="E140" s="10" t="s">
        <v>334</v>
      </c>
      <c r="F140" s="10"/>
      <c r="G140" s="11" t="s">
        <v>360</v>
      </c>
      <c r="H140" s="10" t="s">
        <v>297</v>
      </c>
      <c r="I140" s="10"/>
      <c r="J140" s="12">
        <v>11480</v>
      </c>
      <c r="K140" s="13">
        <f t="shared" si="1"/>
        <v>0</v>
      </c>
    </row>
    <row r="141" spans="2:11" x14ac:dyDescent="0.3">
      <c r="B141" s="10">
        <v>131</v>
      </c>
      <c r="C141" s="10" t="s">
        <v>331</v>
      </c>
      <c r="D141" s="10" t="s">
        <v>286</v>
      </c>
      <c r="E141" s="10" t="s">
        <v>334</v>
      </c>
      <c r="F141" s="10"/>
      <c r="G141" s="11" t="s">
        <v>361</v>
      </c>
      <c r="H141" s="10" t="s">
        <v>297</v>
      </c>
      <c r="I141" s="10"/>
      <c r="J141" s="12">
        <v>171900</v>
      </c>
      <c r="K141" s="13">
        <f t="shared" si="1"/>
        <v>0</v>
      </c>
    </row>
    <row r="142" spans="2:11" x14ac:dyDescent="0.3">
      <c r="B142" s="10">
        <v>132</v>
      </c>
      <c r="C142" s="10" t="s">
        <v>331</v>
      </c>
      <c r="D142" s="10" t="s">
        <v>286</v>
      </c>
      <c r="E142" s="10" t="s">
        <v>334</v>
      </c>
      <c r="F142" s="10"/>
      <c r="G142" s="11" t="s">
        <v>362</v>
      </c>
      <c r="H142" s="10" t="s">
        <v>297</v>
      </c>
      <c r="I142" s="10"/>
      <c r="J142" s="12">
        <v>5570</v>
      </c>
      <c r="K142" s="13">
        <f t="shared" si="1"/>
        <v>0</v>
      </c>
    </row>
    <row r="143" spans="2:11" x14ac:dyDescent="0.3">
      <c r="B143" s="10">
        <v>133</v>
      </c>
      <c r="C143" s="10" t="s">
        <v>331</v>
      </c>
      <c r="D143" s="10" t="s">
        <v>286</v>
      </c>
      <c r="E143" s="10" t="s">
        <v>334</v>
      </c>
      <c r="F143" s="10"/>
      <c r="G143" s="11" t="s">
        <v>363</v>
      </c>
      <c r="H143" s="10" t="s">
        <v>297</v>
      </c>
      <c r="I143" s="10"/>
      <c r="J143" s="12">
        <v>27555</v>
      </c>
      <c r="K143" s="13">
        <f t="shared" si="1"/>
        <v>0</v>
      </c>
    </row>
    <row r="144" spans="2:11" x14ac:dyDescent="0.3">
      <c r="B144" s="10">
        <v>134</v>
      </c>
      <c r="C144" s="10" t="s">
        <v>331</v>
      </c>
      <c r="D144" s="10" t="s">
        <v>286</v>
      </c>
      <c r="E144" s="10" t="s">
        <v>334</v>
      </c>
      <c r="F144" s="10"/>
      <c r="G144" s="11" t="s">
        <v>364</v>
      </c>
      <c r="H144" s="10" t="s">
        <v>297</v>
      </c>
      <c r="I144" s="10"/>
      <c r="J144" s="12">
        <v>168840</v>
      </c>
      <c r="K144" s="13">
        <f t="shared" ref="K144:K207" si="2">J144*I144</f>
        <v>0</v>
      </c>
    </row>
    <row r="145" spans="2:11" x14ac:dyDescent="0.3">
      <c r="B145" s="10">
        <v>135</v>
      </c>
      <c r="C145" s="10" t="s">
        <v>331</v>
      </c>
      <c r="D145" s="10" t="s">
        <v>286</v>
      </c>
      <c r="E145" s="10" t="s">
        <v>334</v>
      </c>
      <c r="F145" s="10"/>
      <c r="G145" s="11" t="s">
        <v>365</v>
      </c>
      <c r="H145" s="10" t="s">
        <v>297</v>
      </c>
      <c r="I145" s="10"/>
      <c r="J145" s="12">
        <v>18370</v>
      </c>
      <c r="K145" s="13">
        <f t="shared" si="2"/>
        <v>0</v>
      </c>
    </row>
    <row r="146" spans="2:11" x14ac:dyDescent="0.3">
      <c r="B146" s="10">
        <v>136</v>
      </c>
      <c r="C146" s="10" t="s">
        <v>331</v>
      </c>
      <c r="D146" s="10" t="s">
        <v>286</v>
      </c>
      <c r="E146" s="10" t="s">
        <v>334</v>
      </c>
      <c r="F146" s="10"/>
      <c r="G146" s="11" t="s">
        <v>366</v>
      </c>
      <c r="H146" s="10" t="s">
        <v>297</v>
      </c>
      <c r="I146" s="10"/>
      <c r="J146" s="12">
        <v>11480</v>
      </c>
      <c r="K146" s="13">
        <f t="shared" si="2"/>
        <v>0</v>
      </c>
    </row>
    <row r="147" spans="2:11" x14ac:dyDescent="0.3">
      <c r="B147" s="10">
        <v>137</v>
      </c>
      <c r="C147" s="10" t="s">
        <v>331</v>
      </c>
      <c r="D147" s="10" t="s">
        <v>286</v>
      </c>
      <c r="E147" s="10" t="s">
        <v>334</v>
      </c>
      <c r="F147" s="10"/>
      <c r="G147" s="11" t="s">
        <v>367</v>
      </c>
      <c r="H147" s="10" t="s">
        <v>297</v>
      </c>
      <c r="I147" s="10"/>
      <c r="J147" s="12">
        <v>23960</v>
      </c>
      <c r="K147" s="13">
        <f t="shared" si="2"/>
        <v>0</v>
      </c>
    </row>
    <row r="148" spans="2:11" x14ac:dyDescent="0.3">
      <c r="B148" s="10">
        <v>138</v>
      </c>
      <c r="C148" s="10" t="s">
        <v>331</v>
      </c>
      <c r="D148" s="10" t="s">
        <v>286</v>
      </c>
      <c r="E148" s="10" t="s">
        <v>334</v>
      </c>
      <c r="F148" s="10"/>
      <c r="G148" s="11" t="s">
        <v>368</v>
      </c>
      <c r="H148" s="10" t="s">
        <v>297</v>
      </c>
      <c r="I148" s="10"/>
      <c r="J148" s="12">
        <v>168840</v>
      </c>
      <c r="K148" s="13">
        <f t="shared" si="2"/>
        <v>0</v>
      </c>
    </row>
    <row r="149" spans="2:11" x14ac:dyDescent="0.3">
      <c r="B149" s="10">
        <v>139</v>
      </c>
      <c r="C149" s="10" t="s">
        <v>331</v>
      </c>
      <c r="D149" s="10" t="s">
        <v>286</v>
      </c>
      <c r="E149" s="10" t="s">
        <v>334</v>
      </c>
      <c r="F149" s="10"/>
      <c r="G149" s="11" t="s">
        <v>369</v>
      </c>
      <c r="H149" s="10" t="s">
        <v>297</v>
      </c>
      <c r="I149" s="10"/>
      <c r="J149" s="12">
        <v>18370</v>
      </c>
      <c r="K149" s="13">
        <f t="shared" si="2"/>
        <v>0</v>
      </c>
    </row>
    <row r="150" spans="2:11" x14ac:dyDescent="0.3">
      <c r="B150" s="10">
        <v>140</v>
      </c>
      <c r="C150" s="10" t="s">
        <v>331</v>
      </c>
      <c r="D150" s="10" t="s">
        <v>286</v>
      </c>
      <c r="E150" s="10" t="s">
        <v>334</v>
      </c>
      <c r="F150" s="10"/>
      <c r="G150" s="11" t="s">
        <v>370</v>
      </c>
      <c r="H150" s="10" t="s">
        <v>297</v>
      </c>
      <c r="I150" s="10"/>
      <c r="J150" s="12">
        <v>11480</v>
      </c>
      <c r="K150" s="13">
        <f t="shared" si="2"/>
        <v>0</v>
      </c>
    </row>
    <row r="151" spans="2:11" x14ac:dyDescent="0.3">
      <c r="B151" s="10">
        <v>141</v>
      </c>
      <c r="C151" s="10" t="s">
        <v>331</v>
      </c>
      <c r="D151" s="10" t="s">
        <v>286</v>
      </c>
      <c r="E151" s="10" t="s">
        <v>334</v>
      </c>
      <c r="F151" s="10"/>
      <c r="G151" s="11" t="s">
        <v>371</v>
      </c>
      <c r="H151" s="10" t="s">
        <v>297</v>
      </c>
      <c r="I151" s="10"/>
      <c r="J151" s="12">
        <v>15380</v>
      </c>
      <c r="K151" s="13">
        <f t="shared" si="2"/>
        <v>0</v>
      </c>
    </row>
    <row r="152" spans="2:11" x14ac:dyDescent="0.3">
      <c r="B152" s="10">
        <v>142</v>
      </c>
      <c r="C152" s="10" t="s">
        <v>331</v>
      </c>
      <c r="D152" s="10" t="s">
        <v>286</v>
      </c>
      <c r="E152" s="10" t="s">
        <v>334</v>
      </c>
      <c r="F152" s="10"/>
      <c r="G152" s="11" t="s">
        <v>372</v>
      </c>
      <c r="H152" s="10" t="s">
        <v>297</v>
      </c>
      <c r="I152" s="10"/>
      <c r="J152" s="12">
        <v>16640</v>
      </c>
      <c r="K152" s="13">
        <f t="shared" si="2"/>
        <v>0</v>
      </c>
    </row>
    <row r="153" spans="2:11" x14ac:dyDescent="0.3">
      <c r="B153" s="10">
        <v>143</v>
      </c>
      <c r="C153" s="10" t="s">
        <v>331</v>
      </c>
      <c r="D153" s="10" t="s">
        <v>286</v>
      </c>
      <c r="E153" s="10" t="s">
        <v>334</v>
      </c>
      <c r="F153" s="10"/>
      <c r="G153" s="11" t="s">
        <v>373</v>
      </c>
      <c r="H153" s="10" t="s">
        <v>297</v>
      </c>
      <c r="I153" s="10"/>
      <c r="J153" s="12">
        <v>243840</v>
      </c>
      <c r="K153" s="13">
        <f t="shared" si="2"/>
        <v>0</v>
      </c>
    </row>
    <row r="154" spans="2:11" x14ac:dyDescent="0.3">
      <c r="B154" s="10">
        <v>144</v>
      </c>
      <c r="C154" s="10" t="s">
        <v>331</v>
      </c>
      <c r="D154" s="10" t="s">
        <v>286</v>
      </c>
      <c r="E154" s="10" t="s">
        <v>334</v>
      </c>
      <c r="F154" s="10"/>
      <c r="G154" s="11" t="s">
        <v>374</v>
      </c>
      <c r="H154" s="10" t="s">
        <v>297</v>
      </c>
      <c r="I154" s="10"/>
      <c r="J154" s="12">
        <v>9180</v>
      </c>
      <c r="K154" s="13">
        <f t="shared" si="2"/>
        <v>0</v>
      </c>
    </row>
    <row r="155" spans="2:11" x14ac:dyDescent="0.3">
      <c r="B155" s="10">
        <v>145</v>
      </c>
      <c r="C155" s="10" t="s">
        <v>331</v>
      </c>
      <c r="D155" s="10" t="s">
        <v>286</v>
      </c>
      <c r="E155" s="10" t="s">
        <v>334</v>
      </c>
      <c r="F155" s="10"/>
      <c r="G155" s="11" t="s">
        <v>375</v>
      </c>
      <c r="H155" s="10" t="s">
        <v>297</v>
      </c>
      <c r="I155" s="10"/>
      <c r="J155" s="12">
        <v>243840</v>
      </c>
      <c r="K155" s="13">
        <f t="shared" si="2"/>
        <v>0</v>
      </c>
    </row>
    <row r="156" spans="2:11" x14ac:dyDescent="0.3">
      <c r="B156" s="10">
        <v>146</v>
      </c>
      <c r="C156" s="10" t="s">
        <v>331</v>
      </c>
      <c r="D156" s="10" t="s">
        <v>286</v>
      </c>
      <c r="E156" s="10" t="s">
        <v>334</v>
      </c>
      <c r="F156" s="10"/>
      <c r="G156" s="11" t="s">
        <v>376</v>
      </c>
      <c r="H156" s="10" t="s">
        <v>297</v>
      </c>
      <c r="I156" s="10"/>
      <c r="J156" s="12">
        <v>7170</v>
      </c>
      <c r="K156" s="13">
        <f t="shared" si="2"/>
        <v>0</v>
      </c>
    </row>
    <row r="157" spans="2:11" x14ac:dyDescent="0.3">
      <c r="B157" s="10">
        <v>147</v>
      </c>
      <c r="C157" s="10" t="s">
        <v>331</v>
      </c>
      <c r="D157" s="10" t="s">
        <v>286</v>
      </c>
      <c r="E157" s="10" t="s">
        <v>334</v>
      </c>
      <c r="F157" s="10"/>
      <c r="G157" s="11" t="s">
        <v>377</v>
      </c>
      <c r="H157" s="10" t="s">
        <v>297</v>
      </c>
      <c r="I157" s="10"/>
      <c r="J157" s="12">
        <v>7170</v>
      </c>
      <c r="K157" s="13">
        <f t="shared" si="2"/>
        <v>0</v>
      </c>
    </row>
    <row r="158" spans="2:11" x14ac:dyDescent="0.3">
      <c r="B158" s="10">
        <v>148</v>
      </c>
      <c r="C158" s="10" t="s">
        <v>331</v>
      </c>
      <c r="D158" s="10" t="s">
        <v>286</v>
      </c>
      <c r="E158" s="10" t="s">
        <v>334</v>
      </c>
      <c r="F158" s="10"/>
      <c r="G158" s="11" t="s">
        <v>378</v>
      </c>
      <c r="H158" s="10" t="s">
        <v>297</v>
      </c>
      <c r="I158" s="10"/>
      <c r="J158" s="12">
        <v>7170</v>
      </c>
      <c r="K158" s="13">
        <f t="shared" si="2"/>
        <v>0</v>
      </c>
    </row>
    <row r="159" spans="2:11" x14ac:dyDescent="0.3">
      <c r="B159" s="10">
        <v>149</v>
      </c>
      <c r="C159" s="10" t="s">
        <v>331</v>
      </c>
      <c r="D159" s="10" t="s">
        <v>286</v>
      </c>
      <c r="E159" s="10" t="s">
        <v>334</v>
      </c>
      <c r="F159" s="10"/>
      <c r="G159" s="11" t="s">
        <v>379</v>
      </c>
      <c r="H159" s="10" t="s">
        <v>297</v>
      </c>
      <c r="I159" s="10"/>
      <c r="J159" s="12">
        <v>290680</v>
      </c>
      <c r="K159" s="13">
        <f t="shared" si="2"/>
        <v>0</v>
      </c>
    </row>
    <row r="160" spans="2:11" x14ac:dyDescent="0.3">
      <c r="B160" s="10">
        <v>150</v>
      </c>
      <c r="C160" s="10" t="s">
        <v>331</v>
      </c>
      <c r="D160" s="10" t="s">
        <v>286</v>
      </c>
      <c r="E160" s="10" t="s">
        <v>334</v>
      </c>
      <c r="F160" s="10"/>
      <c r="G160" s="11" t="s">
        <v>380</v>
      </c>
      <c r="H160" s="10" t="s">
        <v>297</v>
      </c>
      <c r="I160" s="10"/>
      <c r="J160" s="12">
        <v>6600</v>
      </c>
      <c r="K160" s="13">
        <f t="shared" si="2"/>
        <v>0</v>
      </c>
    </row>
    <row r="161" spans="2:11" x14ac:dyDescent="0.3">
      <c r="B161" s="10">
        <v>151</v>
      </c>
      <c r="C161" s="10" t="s">
        <v>331</v>
      </c>
      <c r="D161" s="10" t="s">
        <v>286</v>
      </c>
      <c r="E161" s="10" t="s">
        <v>334</v>
      </c>
      <c r="F161" s="10"/>
      <c r="G161" s="11" t="s">
        <v>381</v>
      </c>
      <c r="H161" s="10" t="s">
        <v>297</v>
      </c>
      <c r="I161" s="10"/>
      <c r="J161" s="12">
        <v>7170</v>
      </c>
      <c r="K161" s="13">
        <f t="shared" si="2"/>
        <v>0</v>
      </c>
    </row>
    <row r="162" spans="2:11" x14ac:dyDescent="0.3">
      <c r="B162" s="10">
        <v>152</v>
      </c>
      <c r="C162" s="10" t="s">
        <v>331</v>
      </c>
      <c r="D162" s="10" t="s">
        <v>286</v>
      </c>
      <c r="E162" s="10" t="s">
        <v>334</v>
      </c>
      <c r="F162" s="10"/>
      <c r="G162" s="11" t="s">
        <v>382</v>
      </c>
      <c r="H162" s="10" t="s">
        <v>297</v>
      </c>
      <c r="I162" s="10"/>
      <c r="J162" s="12">
        <v>6890</v>
      </c>
      <c r="K162" s="13">
        <f t="shared" si="2"/>
        <v>0</v>
      </c>
    </row>
    <row r="163" spans="2:11" x14ac:dyDescent="0.3">
      <c r="B163" s="10">
        <v>153</v>
      </c>
      <c r="C163" s="10" t="s">
        <v>331</v>
      </c>
      <c r="D163" s="10" t="s">
        <v>286</v>
      </c>
      <c r="E163" s="10" t="s">
        <v>334</v>
      </c>
      <c r="F163" s="10"/>
      <c r="G163" s="11" t="s">
        <v>383</v>
      </c>
      <c r="H163" s="10" t="s">
        <v>297</v>
      </c>
      <c r="I163" s="10"/>
      <c r="J163" s="12">
        <v>7170</v>
      </c>
      <c r="K163" s="13">
        <f t="shared" si="2"/>
        <v>0</v>
      </c>
    </row>
    <row r="164" spans="2:11" x14ac:dyDescent="0.3">
      <c r="B164" s="10">
        <v>154</v>
      </c>
      <c r="C164" s="10" t="s">
        <v>331</v>
      </c>
      <c r="D164" s="10" t="s">
        <v>286</v>
      </c>
      <c r="E164" s="10" t="s">
        <v>334</v>
      </c>
      <c r="F164" s="10"/>
      <c r="G164" s="11" t="s">
        <v>384</v>
      </c>
      <c r="H164" s="10" t="s">
        <v>297</v>
      </c>
      <c r="I164" s="10"/>
      <c r="J164" s="12">
        <v>290680</v>
      </c>
      <c r="K164" s="13">
        <f t="shared" si="2"/>
        <v>0</v>
      </c>
    </row>
    <row r="165" spans="2:11" x14ac:dyDescent="0.3">
      <c r="B165" s="10">
        <v>155</v>
      </c>
      <c r="C165" s="10" t="s">
        <v>331</v>
      </c>
      <c r="D165" s="10" t="s">
        <v>286</v>
      </c>
      <c r="E165" s="10" t="s">
        <v>334</v>
      </c>
      <c r="F165" s="10"/>
      <c r="G165" s="11" t="s">
        <v>385</v>
      </c>
      <c r="H165" s="10" t="s">
        <v>297</v>
      </c>
      <c r="I165" s="10"/>
      <c r="J165" s="12">
        <v>10620</v>
      </c>
      <c r="K165" s="13">
        <f t="shared" si="2"/>
        <v>0</v>
      </c>
    </row>
    <row r="166" spans="2:11" x14ac:dyDescent="0.3">
      <c r="B166" s="10">
        <v>156</v>
      </c>
      <c r="C166" s="10" t="s">
        <v>331</v>
      </c>
      <c r="D166" s="10" t="s">
        <v>286</v>
      </c>
      <c r="E166" s="10" t="s">
        <v>334</v>
      </c>
      <c r="F166" s="10"/>
      <c r="G166" s="11" t="s">
        <v>386</v>
      </c>
      <c r="H166" s="10" t="s">
        <v>297</v>
      </c>
      <c r="I166" s="10"/>
      <c r="J166" s="12">
        <v>9180</v>
      </c>
      <c r="K166" s="13">
        <f t="shared" si="2"/>
        <v>0</v>
      </c>
    </row>
    <row r="167" spans="2:11" x14ac:dyDescent="0.3">
      <c r="B167" s="10">
        <v>157</v>
      </c>
      <c r="C167" s="10" t="s">
        <v>331</v>
      </c>
      <c r="D167" s="10" t="s">
        <v>286</v>
      </c>
      <c r="E167" s="10" t="s">
        <v>334</v>
      </c>
      <c r="F167" s="10"/>
      <c r="G167" s="11" t="s">
        <v>387</v>
      </c>
      <c r="H167" s="10" t="s">
        <v>297</v>
      </c>
      <c r="I167" s="10"/>
      <c r="J167" s="12">
        <v>21730</v>
      </c>
      <c r="K167" s="13">
        <f t="shared" si="2"/>
        <v>0</v>
      </c>
    </row>
    <row r="168" spans="2:11" x14ac:dyDescent="0.3">
      <c r="B168" s="10">
        <v>158</v>
      </c>
      <c r="C168" s="10" t="s">
        <v>331</v>
      </c>
      <c r="D168" s="10" t="s">
        <v>286</v>
      </c>
      <c r="E168" s="10" t="s">
        <v>334</v>
      </c>
      <c r="F168" s="10"/>
      <c r="G168" s="11" t="s">
        <v>388</v>
      </c>
      <c r="H168" s="10" t="s">
        <v>297</v>
      </c>
      <c r="I168" s="10"/>
      <c r="J168" s="12">
        <v>242550</v>
      </c>
      <c r="K168" s="13">
        <f t="shared" si="2"/>
        <v>0</v>
      </c>
    </row>
    <row r="169" spans="2:11" x14ac:dyDescent="0.3">
      <c r="B169" s="10">
        <v>159</v>
      </c>
      <c r="C169" s="10" t="s">
        <v>331</v>
      </c>
      <c r="D169" s="10" t="s">
        <v>286</v>
      </c>
      <c r="E169" s="10" t="s">
        <v>334</v>
      </c>
      <c r="F169" s="10"/>
      <c r="G169" s="11" t="s">
        <v>389</v>
      </c>
      <c r="H169" s="10" t="s">
        <v>297</v>
      </c>
      <c r="I169" s="10"/>
      <c r="J169" s="12">
        <v>18370</v>
      </c>
      <c r="K169" s="13">
        <f t="shared" si="2"/>
        <v>0</v>
      </c>
    </row>
    <row r="170" spans="2:11" x14ac:dyDescent="0.3">
      <c r="B170" s="10">
        <v>160</v>
      </c>
      <c r="C170" s="10" t="s">
        <v>331</v>
      </c>
      <c r="D170" s="10" t="s">
        <v>286</v>
      </c>
      <c r="E170" s="10" t="s">
        <v>390</v>
      </c>
      <c r="F170" s="10"/>
      <c r="G170" s="11" t="s">
        <v>391</v>
      </c>
      <c r="H170" s="10" t="s">
        <v>297</v>
      </c>
      <c r="I170" s="10"/>
      <c r="J170" s="12">
        <v>213730</v>
      </c>
      <c r="K170" s="13">
        <f t="shared" si="2"/>
        <v>0</v>
      </c>
    </row>
    <row r="171" spans="2:11" x14ac:dyDescent="0.3">
      <c r="B171" s="10">
        <v>161</v>
      </c>
      <c r="C171" s="10" t="s">
        <v>392</v>
      </c>
      <c r="D171" s="10" t="s">
        <v>286</v>
      </c>
      <c r="E171" s="10" t="s">
        <v>332</v>
      </c>
      <c r="F171" s="10"/>
      <c r="G171" s="11" t="s">
        <v>393</v>
      </c>
      <c r="H171" s="10" t="s">
        <v>297</v>
      </c>
      <c r="I171" s="10"/>
      <c r="J171" s="12">
        <v>201840</v>
      </c>
      <c r="K171" s="13">
        <f t="shared" si="2"/>
        <v>0</v>
      </c>
    </row>
    <row r="172" spans="2:11" x14ac:dyDescent="0.3">
      <c r="B172" s="10">
        <v>162</v>
      </c>
      <c r="C172" s="10" t="s">
        <v>394</v>
      </c>
      <c r="D172" s="10" t="s">
        <v>286</v>
      </c>
      <c r="E172" s="10" t="s">
        <v>332</v>
      </c>
      <c r="F172" s="10"/>
      <c r="G172" s="11" t="s">
        <v>395</v>
      </c>
      <c r="H172" s="10" t="s">
        <v>297</v>
      </c>
      <c r="I172" s="10"/>
      <c r="J172" s="12">
        <v>121219.99999999999</v>
      </c>
      <c r="K172" s="13">
        <f t="shared" si="2"/>
        <v>0</v>
      </c>
    </row>
    <row r="173" spans="2:11" x14ac:dyDescent="0.3">
      <c r="B173" s="10">
        <v>163</v>
      </c>
      <c r="C173" s="10" t="s">
        <v>394</v>
      </c>
      <c r="D173" s="10" t="s">
        <v>286</v>
      </c>
      <c r="E173" s="10" t="s">
        <v>332</v>
      </c>
      <c r="F173" s="10"/>
      <c r="G173" s="11" t="s">
        <v>396</v>
      </c>
      <c r="H173" s="10" t="s">
        <v>297</v>
      </c>
      <c r="I173" s="10"/>
      <c r="J173" s="12">
        <v>47560</v>
      </c>
      <c r="K173" s="13">
        <f t="shared" si="2"/>
        <v>0</v>
      </c>
    </row>
    <row r="174" spans="2:11" x14ac:dyDescent="0.3">
      <c r="B174" s="10">
        <v>164</v>
      </c>
      <c r="C174" s="10" t="s">
        <v>394</v>
      </c>
      <c r="D174" s="10" t="s">
        <v>286</v>
      </c>
      <c r="E174" s="10" t="s">
        <v>332</v>
      </c>
      <c r="F174" s="10"/>
      <c r="G174" s="11" t="s">
        <v>397</v>
      </c>
      <c r="H174" s="10" t="s">
        <v>297</v>
      </c>
      <c r="I174" s="10"/>
      <c r="J174" s="12">
        <v>95410</v>
      </c>
      <c r="K174" s="13">
        <f t="shared" si="2"/>
        <v>0</v>
      </c>
    </row>
    <row r="175" spans="2:11" x14ac:dyDescent="0.3">
      <c r="B175" s="10">
        <v>165</v>
      </c>
      <c r="C175" s="10" t="s">
        <v>394</v>
      </c>
      <c r="D175" s="10" t="s">
        <v>286</v>
      </c>
      <c r="E175" s="10" t="s">
        <v>332</v>
      </c>
      <c r="F175" s="10"/>
      <c r="G175" s="11" t="s">
        <v>398</v>
      </c>
      <c r="H175" s="10" t="s">
        <v>297</v>
      </c>
      <c r="I175" s="10"/>
      <c r="J175" s="12">
        <v>50170</v>
      </c>
      <c r="K175" s="13">
        <f t="shared" si="2"/>
        <v>0</v>
      </c>
    </row>
    <row r="176" spans="2:11" x14ac:dyDescent="0.3">
      <c r="B176" s="10">
        <v>166</v>
      </c>
      <c r="C176" s="10" t="s">
        <v>394</v>
      </c>
      <c r="D176" s="10" t="s">
        <v>286</v>
      </c>
      <c r="E176" s="10" t="s">
        <v>332</v>
      </c>
      <c r="F176" s="10"/>
      <c r="G176" s="11" t="s">
        <v>399</v>
      </c>
      <c r="H176" s="10" t="s">
        <v>297</v>
      </c>
      <c r="I176" s="10"/>
      <c r="J176" s="12">
        <v>10098.89956818499</v>
      </c>
      <c r="K176" s="13">
        <f t="shared" si="2"/>
        <v>0</v>
      </c>
    </row>
    <row r="177" spans="2:11" x14ac:dyDescent="0.3">
      <c r="B177" s="10">
        <v>167</v>
      </c>
      <c r="C177" s="10" t="s">
        <v>394</v>
      </c>
      <c r="D177" s="10" t="s">
        <v>286</v>
      </c>
      <c r="E177" s="10" t="s">
        <v>332</v>
      </c>
      <c r="F177" s="10"/>
      <c r="G177" s="11" t="s">
        <v>400</v>
      </c>
      <c r="H177" s="10" t="s">
        <v>401</v>
      </c>
      <c r="I177" s="10"/>
      <c r="J177" s="12">
        <v>29000</v>
      </c>
      <c r="K177" s="13">
        <f t="shared" si="2"/>
        <v>0</v>
      </c>
    </row>
    <row r="178" spans="2:11" x14ac:dyDescent="0.3">
      <c r="B178" s="10">
        <v>168</v>
      </c>
      <c r="C178" s="10" t="s">
        <v>394</v>
      </c>
      <c r="D178" s="10" t="s">
        <v>286</v>
      </c>
      <c r="E178" s="10" t="s">
        <v>390</v>
      </c>
      <c r="F178" s="10"/>
      <c r="G178" s="11" t="s">
        <v>402</v>
      </c>
      <c r="H178" s="10" t="s">
        <v>297</v>
      </c>
      <c r="I178" s="10"/>
      <c r="J178" s="12">
        <v>271181.42200465652</v>
      </c>
      <c r="K178" s="13">
        <f t="shared" si="2"/>
        <v>0</v>
      </c>
    </row>
    <row r="179" spans="2:11" x14ac:dyDescent="0.3">
      <c r="B179" s="10">
        <v>169</v>
      </c>
      <c r="C179" s="10" t="s">
        <v>394</v>
      </c>
      <c r="D179" s="10" t="s">
        <v>286</v>
      </c>
      <c r="E179" s="10" t="s">
        <v>390</v>
      </c>
      <c r="F179" s="10"/>
      <c r="G179" s="11" t="s">
        <v>403</v>
      </c>
      <c r="H179" s="10" t="s">
        <v>297</v>
      </c>
      <c r="I179" s="10"/>
      <c r="J179" s="12">
        <v>323222.49417945166</v>
      </c>
      <c r="K179" s="13">
        <f t="shared" si="2"/>
        <v>0</v>
      </c>
    </row>
    <row r="180" spans="2:11" x14ac:dyDescent="0.3">
      <c r="B180" s="10">
        <v>170</v>
      </c>
      <c r="C180" s="10" t="s">
        <v>394</v>
      </c>
      <c r="D180" s="10" t="s">
        <v>286</v>
      </c>
      <c r="E180" s="10" t="s">
        <v>390</v>
      </c>
      <c r="F180" s="10"/>
      <c r="G180" s="11" t="s">
        <v>404</v>
      </c>
      <c r="H180" s="10" t="s">
        <v>297</v>
      </c>
      <c r="I180" s="10"/>
      <c r="J180" s="12">
        <v>390349.87960917648</v>
      </c>
      <c r="K180" s="13">
        <f t="shared" si="2"/>
        <v>0</v>
      </c>
    </row>
    <row r="181" spans="2:11" x14ac:dyDescent="0.3">
      <c r="B181" s="10">
        <v>171</v>
      </c>
      <c r="C181" s="10" t="s">
        <v>394</v>
      </c>
      <c r="D181" s="10" t="s">
        <v>286</v>
      </c>
      <c r="E181" s="10" t="s">
        <v>390</v>
      </c>
      <c r="F181" s="10"/>
      <c r="G181" s="11" t="s">
        <v>405</v>
      </c>
      <c r="H181" s="10" t="s">
        <v>297</v>
      </c>
      <c r="I181" s="10"/>
      <c r="J181" s="12">
        <v>510349.33237816562</v>
      </c>
      <c r="K181" s="13">
        <f t="shared" si="2"/>
        <v>0</v>
      </c>
    </row>
    <row r="182" spans="2:11" x14ac:dyDescent="0.3">
      <c r="B182" s="10">
        <v>172</v>
      </c>
      <c r="C182" s="10" t="s">
        <v>394</v>
      </c>
      <c r="D182" s="10" t="s">
        <v>286</v>
      </c>
      <c r="E182" s="10" t="s">
        <v>390</v>
      </c>
      <c r="F182" s="10"/>
      <c r="G182" s="11" t="s">
        <v>406</v>
      </c>
      <c r="H182" s="10" t="s">
        <v>297</v>
      </c>
      <c r="I182" s="10"/>
      <c r="J182" s="12">
        <v>1175266.65074722</v>
      </c>
      <c r="K182" s="13">
        <f t="shared" si="2"/>
        <v>0</v>
      </c>
    </row>
    <row r="183" spans="2:11" x14ac:dyDescent="0.3">
      <c r="B183" s="10">
        <v>173</v>
      </c>
      <c r="C183" s="10" t="s">
        <v>394</v>
      </c>
      <c r="D183" s="10" t="s">
        <v>286</v>
      </c>
      <c r="E183" s="10" t="s">
        <v>390</v>
      </c>
      <c r="F183" s="10"/>
      <c r="G183" s="11" t="s">
        <v>407</v>
      </c>
      <c r="H183" s="10" t="s">
        <v>297</v>
      </c>
      <c r="I183" s="10"/>
      <c r="J183" s="12">
        <v>1365930.9891946742</v>
      </c>
      <c r="K183" s="13">
        <f t="shared" si="2"/>
        <v>0</v>
      </c>
    </row>
    <row r="184" spans="2:11" x14ac:dyDescent="0.3">
      <c r="B184" s="10">
        <v>174</v>
      </c>
      <c r="C184" s="10" t="s">
        <v>394</v>
      </c>
      <c r="D184" s="10" t="s">
        <v>286</v>
      </c>
      <c r="E184" s="10" t="s">
        <v>390</v>
      </c>
      <c r="F184" s="10"/>
      <c r="G184" s="11" t="s">
        <v>408</v>
      </c>
      <c r="H184" s="10" t="s">
        <v>297</v>
      </c>
      <c r="I184" s="10"/>
      <c r="J184" s="12">
        <v>819886.37494279048</v>
      </c>
      <c r="K184" s="13">
        <f t="shared" si="2"/>
        <v>0</v>
      </c>
    </row>
    <row r="185" spans="2:11" x14ac:dyDescent="0.3">
      <c r="B185" s="10">
        <v>175</v>
      </c>
      <c r="C185" s="10" t="s">
        <v>394</v>
      </c>
      <c r="D185" s="10" t="s">
        <v>286</v>
      </c>
      <c r="E185" s="10" t="s">
        <v>332</v>
      </c>
      <c r="F185" s="10"/>
      <c r="G185" s="11" t="s">
        <v>409</v>
      </c>
      <c r="H185" s="10" t="s">
        <v>410</v>
      </c>
      <c r="I185" s="10"/>
      <c r="J185" s="12">
        <v>60320</v>
      </c>
      <c r="K185" s="13">
        <f t="shared" si="2"/>
        <v>0</v>
      </c>
    </row>
    <row r="186" spans="2:11" x14ac:dyDescent="0.3">
      <c r="B186" s="10">
        <v>176</v>
      </c>
      <c r="C186" s="10" t="s">
        <v>394</v>
      </c>
      <c r="D186" s="10" t="s">
        <v>286</v>
      </c>
      <c r="E186" s="10" t="s">
        <v>332</v>
      </c>
      <c r="F186" s="10"/>
      <c r="G186" s="11" t="s">
        <v>411</v>
      </c>
      <c r="H186" s="10" t="s">
        <v>410</v>
      </c>
      <c r="I186" s="10"/>
      <c r="J186" s="12">
        <v>57420</v>
      </c>
      <c r="K186" s="13">
        <f t="shared" si="2"/>
        <v>0</v>
      </c>
    </row>
    <row r="187" spans="2:11" x14ac:dyDescent="0.3">
      <c r="B187" s="10">
        <v>177</v>
      </c>
      <c r="C187" s="10" t="s">
        <v>394</v>
      </c>
      <c r="D187" s="10" t="s">
        <v>286</v>
      </c>
      <c r="E187" s="10" t="s">
        <v>332</v>
      </c>
      <c r="F187" s="10"/>
      <c r="G187" s="11" t="s">
        <v>412</v>
      </c>
      <c r="H187" s="10" t="s">
        <v>297</v>
      </c>
      <c r="I187" s="10"/>
      <c r="J187" s="12">
        <v>207060</v>
      </c>
      <c r="K187" s="13">
        <f t="shared" si="2"/>
        <v>0</v>
      </c>
    </row>
    <row r="188" spans="2:11" x14ac:dyDescent="0.3">
      <c r="B188" s="10">
        <v>178</v>
      </c>
      <c r="C188" s="10" t="s">
        <v>394</v>
      </c>
      <c r="D188" s="10" t="s">
        <v>286</v>
      </c>
      <c r="E188" s="10" t="s">
        <v>332</v>
      </c>
      <c r="F188" s="10"/>
      <c r="G188" s="11" t="s">
        <v>413</v>
      </c>
      <c r="H188" s="10" t="s">
        <v>297</v>
      </c>
      <c r="I188" s="10"/>
      <c r="J188" s="12">
        <v>217210</v>
      </c>
      <c r="K188" s="13">
        <f t="shared" si="2"/>
        <v>0</v>
      </c>
    </row>
    <row r="189" spans="2:11" x14ac:dyDescent="0.3">
      <c r="B189" s="10">
        <v>179</v>
      </c>
      <c r="C189" s="10" t="s">
        <v>394</v>
      </c>
      <c r="D189" s="10" t="s">
        <v>286</v>
      </c>
      <c r="E189" s="10" t="s">
        <v>332</v>
      </c>
      <c r="F189" s="10"/>
      <c r="G189" s="11" t="s">
        <v>414</v>
      </c>
      <c r="H189" s="10" t="s">
        <v>297</v>
      </c>
      <c r="I189" s="10"/>
      <c r="J189" s="12">
        <v>441380</v>
      </c>
      <c r="K189" s="13">
        <f t="shared" si="2"/>
        <v>0</v>
      </c>
    </row>
    <row r="190" spans="2:11" x14ac:dyDescent="0.3">
      <c r="B190" s="10">
        <v>180</v>
      </c>
      <c r="C190" s="10" t="s">
        <v>394</v>
      </c>
      <c r="D190" s="10" t="s">
        <v>286</v>
      </c>
      <c r="E190" s="10" t="s">
        <v>332</v>
      </c>
      <c r="F190" s="10"/>
      <c r="G190" s="11" t="s">
        <v>415</v>
      </c>
      <c r="H190" s="10" t="s">
        <v>297</v>
      </c>
      <c r="I190" s="10"/>
      <c r="J190" s="12">
        <v>582900</v>
      </c>
      <c r="K190" s="13">
        <f t="shared" si="2"/>
        <v>0</v>
      </c>
    </row>
    <row r="191" spans="2:11" x14ac:dyDescent="0.3">
      <c r="B191" s="10">
        <v>181</v>
      </c>
      <c r="C191" s="10" t="s">
        <v>394</v>
      </c>
      <c r="D191" s="10" t="s">
        <v>286</v>
      </c>
      <c r="E191" s="10" t="s">
        <v>332</v>
      </c>
      <c r="F191" s="10"/>
      <c r="G191" s="11" t="s">
        <v>416</v>
      </c>
      <c r="H191" s="10" t="s">
        <v>297</v>
      </c>
      <c r="I191" s="10"/>
      <c r="J191" s="12">
        <v>883920</v>
      </c>
      <c r="K191" s="13">
        <f t="shared" si="2"/>
        <v>0</v>
      </c>
    </row>
    <row r="192" spans="2:11" x14ac:dyDescent="0.3">
      <c r="B192" s="10">
        <v>182</v>
      </c>
      <c r="C192" s="10" t="s">
        <v>394</v>
      </c>
      <c r="D192" s="10" t="s">
        <v>286</v>
      </c>
      <c r="E192" s="10" t="s">
        <v>332</v>
      </c>
      <c r="F192" s="10"/>
      <c r="G192" s="11" t="s">
        <v>417</v>
      </c>
      <c r="H192" s="10" t="s">
        <v>297</v>
      </c>
      <c r="I192" s="10"/>
      <c r="J192" s="12">
        <v>1027470</v>
      </c>
      <c r="K192" s="13">
        <f t="shared" si="2"/>
        <v>0</v>
      </c>
    </row>
    <row r="193" spans="2:11" x14ac:dyDescent="0.3">
      <c r="B193" s="10">
        <v>183</v>
      </c>
      <c r="C193" s="10" t="s">
        <v>418</v>
      </c>
      <c r="D193" s="10" t="s">
        <v>286</v>
      </c>
      <c r="E193" s="10" t="s">
        <v>332</v>
      </c>
      <c r="F193" s="10"/>
      <c r="G193" s="11" t="s">
        <v>395</v>
      </c>
      <c r="H193" s="10" t="s">
        <v>297</v>
      </c>
      <c r="I193" s="10"/>
      <c r="J193" s="12">
        <v>121219.99999999999</v>
      </c>
      <c r="K193" s="13">
        <f t="shared" si="2"/>
        <v>0</v>
      </c>
    </row>
    <row r="194" spans="2:11" x14ac:dyDescent="0.3">
      <c r="B194" s="10">
        <v>184</v>
      </c>
      <c r="C194" s="10" t="s">
        <v>419</v>
      </c>
      <c r="D194" s="10" t="s">
        <v>24</v>
      </c>
      <c r="E194" s="10" t="s">
        <v>420</v>
      </c>
      <c r="F194" s="10"/>
      <c r="G194" s="11" t="s">
        <v>421</v>
      </c>
      <c r="H194" s="10" t="s">
        <v>422</v>
      </c>
      <c r="I194" s="10"/>
      <c r="J194" s="12">
        <v>12000</v>
      </c>
      <c r="K194" s="13">
        <f t="shared" si="2"/>
        <v>0</v>
      </c>
    </row>
    <row r="195" spans="2:11" x14ac:dyDescent="0.3">
      <c r="B195" s="10">
        <v>185</v>
      </c>
      <c r="C195" s="10" t="s">
        <v>419</v>
      </c>
      <c r="D195" s="10" t="s">
        <v>286</v>
      </c>
      <c r="E195" s="10" t="s">
        <v>420</v>
      </c>
      <c r="F195" s="10"/>
      <c r="G195" s="11" t="s">
        <v>423</v>
      </c>
      <c r="H195" s="10" t="s">
        <v>289</v>
      </c>
      <c r="I195" s="10"/>
      <c r="J195" s="12">
        <v>110000</v>
      </c>
      <c r="K195" s="13">
        <f t="shared" si="2"/>
        <v>0</v>
      </c>
    </row>
    <row r="196" spans="2:11" x14ac:dyDescent="0.3">
      <c r="B196" s="10">
        <v>186</v>
      </c>
      <c r="C196" s="10" t="s">
        <v>419</v>
      </c>
      <c r="D196" s="10" t="s">
        <v>286</v>
      </c>
      <c r="E196" s="10" t="s">
        <v>420</v>
      </c>
      <c r="F196" s="10"/>
      <c r="G196" s="11" t="s">
        <v>424</v>
      </c>
      <c r="H196" s="10" t="s">
        <v>289</v>
      </c>
      <c r="I196" s="10"/>
      <c r="J196" s="12">
        <v>180000</v>
      </c>
      <c r="K196" s="13">
        <f t="shared" si="2"/>
        <v>0</v>
      </c>
    </row>
    <row r="197" spans="2:11" x14ac:dyDescent="0.3">
      <c r="B197" s="10">
        <v>187</v>
      </c>
      <c r="C197" s="10" t="s">
        <v>419</v>
      </c>
      <c r="D197" s="10" t="s">
        <v>286</v>
      </c>
      <c r="E197" s="10" t="s">
        <v>420</v>
      </c>
      <c r="F197" s="10"/>
      <c r="G197" s="11" t="s">
        <v>425</v>
      </c>
      <c r="H197" s="10" t="s">
        <v>289</v>
      </c>
      <c r="I197" s="10"/>
      <c r="J197" s="12">
        <v>50000</v>
      </c>
      <c r="K197" s="13">
        <f t="shared" si="2"/>
        <v>0</v>
      </c>
    </row>
    <row r="198" spans="2:11" x14ac:dyDescent="0.3">
      <c r="B198" s="10">
        <v>188</v>
      </c>
      <c r="C198" s="10" t="s">
        <v>419</v>
      </c>
      <c r="D198" s="10" t="s">
        <v>286</v>
      </c>
      <c r="E198" s="10" t="s">
        <v>420</v>
      </c>
      <c r="F198" s="10"/>
      <c r="G198" s="11" t="s">
        <v>426</v>
      </c>
      <c r="H198" s="10" t="s">
        <v>289</v>
      </c>
      <c r="I198" s="10"/>
      <c r="J198" s="12">
        <v>130000</v>
      </c>
      <c r="K198" s="13">
        <f t="shared" si="2"/>
        <v>0</v>
      </c>
    </row>
    <row r="199" spans="2:11" x14ac:dyDescent="0.3">
      <c r="B199" s="10">
        <v>189</v>
      </c>
      <c r="C199" s="10" t="s">
        <v>419</v>
      </c>
      <c r="D199" s="10" t="s">
        <v>286</v>
      </c>
      <c r="E199" s="10" t="s">
        <v>420</v>
      </c>
      <c r="F199" s="10"/>
      <c r="G199" s="11" t="s">
        <v>427</v>
      </c>
      <c r="H199" s="10" t="s">
        <v>289</v>
      </c>
      <c r="I199" s="10"/>
      <c r="J199" s="12">
        <v>25000</v>
      </c>
      <c r="K199" s="13">
        <f t="shared" si="2"/>
        <v>0</v>
      </c>
    </row>
    <row r="200" spans="2:11" x14ac:dyDescent="0.3">
      <c r="B200" s="10">
        <v>190</v>
      </c>
      <c r="C200" s="10" t="s">
        <v>419</v>
      </c>
      <c r="D200" s="10" t="s">
        <v>286</v>
      </c>
      <c r="E200" s="10" t="s">
        <v>420</v>
      </c>
      <c r="F200" s="10"/>
      <c r="G200" s="11" t="s">
        <v>428</v>
      </c>
      <c r="H200" s="10" t="s">
        <v>289</v>
      </c>
      <c r="I200" s="10"/>
      <c r="J200" s="12">
        <v>350000</v>
      </c>
      <c r="K200" s="13">
        <f t="shared" si="2"/>
        <v>0</v>
      </c>
    </row>
    <row r="201" spans="2:11" x14ac:dyDescent="0.3">
      <c r="B201" s="10">
        <v>191</v>
      </c>
      <c r="C201" s="10" t="s">
        <v>419</v>
      </c>
      <c r="D201" s="10" t="s">
        <v>286</v>
      </c>
      <c r="E201" s="10" t="s">
        <v>420</v>
      </c>
      <c r="F201" s="10"/>
      <c r="G201" s="11" t="s">
        <v>429</v>
      </c>
      <c r="H201" s="10" t="s">
        <v>289</v>
      </c>
      <c r="I201" s="10"/>
      <c r="J201" s="12">
        <v>950000</v>
      </c>
      <c r="K201" s="13">
        <f t="shared" si="2"/>
        <v>0</v>
      </c>
    </row>
    <row r="202" spans="2:11" x14ac:dyDescent="0.3">
      <c r="B202" s="10">
        <v>192</v>
      </c>
      <c r="C202" s="10" t="s">
        <v>419</v>
      </c>
      <c r="D202" s="10" t="s">
        <v>286</v>
      </c>
      <c r="E202" s="10" t="s">
        <v>420</v>
      </c>
      <c r="F202" s="10"/>
      <c r="G202" s="11" t="s">
        <v>430</v>
      </c>
      <c r="H202" s="10" t="s">
        <v>289</v>
      </c>
      <c r="I202" s="10"/>
      <c r="J202" s="12">
        <v>1300000</v>
      </c>
      <c r="K202" s="13">
        <f t="shared" si="2"/>
        <v>0</v>
      </c>
    </row>
    <row r="203" spans="2:11" x14ac:dyDescent="0.3">
      <c r="B203" s="10">
        <v>193</v>
      </c>
      <c r="C203" s="10" t="s">
        <v>419</v>
      </c>
      <c r="D203" s="10" t="s">
        <v>286</v>
      </c>
      <c r="E203" s="10" t="s">
        <v>420</v>
      </c>
      <c r="F203" s="10"/>
      <c r="G203" s="11" t="s">
        <v>431</v>
      </c>
      <c r="H203" s="10" t="s">
        <v>289</v>
      </c>
      <c r="I203" s="10"/>
      <c r="J203" s="12">
        <v>2100000</v>
      </c>
      <c r="K203" s="13">
        <f t="shared" si="2"/>
        <v>0</v>
      </c>
    </row>
    <row r="204" spans="2:11" x14ac:dyDescent="0.3">
      <c r="B204" s="10">
        <v>194</v>
      </c>
      <c r="C204" s="10" t="s">
        <v>419</v>
      </c>
      <c r="D204" s="10" t="s">
        <v>286</v>
      </c>
      <c r="E204" s="10" t="s">
        <v>420</v>
      </c>
      <c r="F204" s="10"/>
      <c r="G204" s="11" t="s">
        <v>432</v>
      </c>
      <c r="H204" s="10" t="s">
        <v>289</v>
      </c>
      <c r="I204" s="10"/>
      <c r="J204" s="12">
        <v>1650000</v>
      </c>
      <c r="K204" s="13">
        <f t="shared" si="2"/>
        <v>0</v>
      </c>
    </row>
    <row r="205" spans="2:11" x14ac:dyDescent="0.3">
      <c r="B205" s="10">
        <v>195</v>
      </c>
      <c r="C205" s="10" t="s">
        <v>419</v>
      </c>
      <c r="D205" s="10" t="s">
        <v>286</v>
      </c>
      <c r="E205" s="10" t="s">
        <v>420</v>
      </c>
      <c r="F205" s="10"/>
      <c r="G205" s="11" t="s">
        <v>433</v>
      </c>
      <c r="H205" s="10" t="s">
        <v>289</v>
      </c>
      <c r="I205" s="10"/>
      <c r="J205" s="12">
        <v>2250000</v>
      </c>
      <c r="K205" s="13">
        <f t="shared" si="2"/>
        <v>0</v>
      </c>
    </row>
    <row r="206" spans="2:11" x14ac:dyDescent="0.3">
      <c r="B206" s="10">
        <v>196</v>
      </c>
      <c r="C206" s="10" t="s">
        <v>419</v>
      </c>
      <c r="D206" s="10" t="s">
        <v>286</v>
      </c>
      <c r="E206" s="10" t="s">
        <v>420</v>
      </c>
      <c r="F206" s="10"/>
      <c r="G206" s="11" t="s">
        <v>434</v>
      </c>
      <c r="H206" s="10" t="s">
        <v>289</v>
      </c>
      <c r="I206" s="10"/>
      <c r="J206" s="12">
        <v>2650000</v>
      </c>
      <c r="K206" s="13">
        <f t="shared" si="2"/>
        <v>0</v>
      </c>
    </row>
    <row r="207" spans="2:11" x14ac:dyDescent="0.3">
      <c r="B207" s="10">
        <v>197</v>
      </c>
      <c r="C207" s="10" t="s">
        <v>419</v>
      </c>
      <c r="D207" s="10" t="s">
        <v>286</v>
      </c>
      <c r="E207" s="10" t="s">
        <v>420</v>
      </c>
      <c r="F207" s="10"/>
      <c r="G207" s="11" t="s">
        <v>435</v>
      </c>
      <c r="H207" s="10" t="s">
        <v>289</v>
      </c>
      <c r="I207" s="10"/>
      <c r="J207" s="12">
        <v>3450000</v>
      </c>
      <c r="K207" s="13">
        <f t="shared" si="2"/>
        <v>0</v>
      </c>
    </row>
    <row r="208" spans="2:11" x14ac:dyDescent="0.3">
      <c r="B208" s="10">
        <v>198</v>
      </c>
      <c r="C208" s="10" t="s">
        <v>419</v>
      </c>
      <c r="D208" s="10" t="s">
        <v>286</v>
      </c>
      <c r="E208" s="10" t="s">
        <v>420</v>
      </c>
      <c r="F208" s="10"/>
      <c r="G208" s="11" t="s">
        <v>436</v>
      </c>
      <c r="H208" s="10" t="s">
        <v>289</v>
      </c>
      <c r="I208" s="10"/>
      <c r="J208" s="12">
        <v>3850000</v>
      </c>
      <c r="K208" s="13">
        <f t="shared" ref="K208:K271" si="3">J208*I208</f>
        <v>0</v>
      </c>
    </row>
    <row r="209" spans="2:11" x14ac:dyDescent="0.3">
      <c r="B209" s="10">
        <v>199</v>
      </c>
      <c r="C209" s="10" t="s">
        <v>419</v>
      </c>
      <c r="D209" s="10" t="s">
        <v>286</v>
      </c>
      <c r="E209" s="10" t="s">
        <v>420</v>
      </c>
      <c r="F209" s="10"/>
      <c r="G209" s="11" t="s">
        <v>437</v>
      </c>
      <c r="H209" s="10" t="s">
        <v>289</v>
      </c>
      <c r="I209" s="10"/>
      <c r="J209" s="12">
        <v>450000</v>
      </c>
      <c r="K209" s="13">
        <f t="shared" si="3"/>
        <v>0</v>
      </c>
    </row>
    <row r="210" spans="2:11" x14ac:dyDescent="0.3">
      <c r="B210" s="10">
        <v>200</v>
      </c>
      <c r="C210" s="10" t="s">
        <v>419</v>
      </c>
      <c r="D210" s="10" t="s">
        <v>286</v>
      </c>
      <c r="E210" s="10" t="s">
        <v>420</v>
      </c>
      <c r="F210" s="10"/>
      <c r="G210" s="11" t="s">
        <v>438</v>
      </c>
      <c r="H210" s="10" t="s">
        <v>289</v>
      </c>
      <c r="I210" s="10"/>
      <c r="J210" s="12">
        <v>850000</v>
      </c>
      <c r="K210" s="13">
        <f t="shared" si="3"/>
        <v>0</v>
      </c>
    </row>
    <row r="211" spans="2:11" x14ac:dyDescent="0.3">
      <c r="B211" s="10">
        <v>201</v>
      </c>
      <c r="C211" s="10" t="s">
        <v>419</v>
      </c>
      <c r="D211" s="10" t="s">
        <v>286</v>
      </c>
      <c r="E211" s="10" t="s">
        <v>420</v>
      </c>
      <c r="F211" s="10"/>
      <c r="G211" s="11" t="s">
        <v>439</v>
      </c>
      <c r="H211" s="10" t="s">
        <v>289</v>
      </c>
      <c r="I211" s="10"/>
      <c r="J211" s="12">
        <v>1150000</v>
      </c>
      <c r="K211" s="13">
        <f t="shared" si="3"/>
        <v>0</v>
      </c>
    </row>
    <row r="212" spans="2:11" x14ac:dyDescent="0.3">
      <c r="B212" s="10">
        <v>202</v>
      </c>
      <c r="C212" s="10" t="s">
        <v>419</v>
      </c>
      <c r="D212" s="10" t="s">
        <v>286</v>
      </c>
      <c r="E212" s="10" t="s">
        <v>420</v>
      </c>
      <c r="F212" s="10"/>
      <c r="G212" s="11" t="s">
        <v>440</v>
      </c>
      <c r="H212" s="10" t="s">
        <v>289</v>
      </c>
      <c r="I212" s="10"/>
      <c r="J212" s="12">
        <v>1650000</v>
      </c>
      <c r="K212" s="13">
        <f t="shared" si="3"/>
        <v>0</v>
      </c>
    </row>
    <row r="213" spans="2:11" x14ac:dyDescent="0.3">
      <c r="B213" s="10">
        <v>203</v>
      </c>
      <c r="C213" s="10" t="s">
        <v>419</v>
      </c>
      <c r="D213" s="10" t="s">
        <v>286</v>
      </c>
      <c r="E213" s="10" t="s">
        <v>420</v>
      </c>
      <c r="F213" s="10"/>
      <c r="G213" s="11" t="s">
        <v>441</v>
      </c>
      <c r="H213" s="10" t="s">
        <v>289</v>
      </c>
      <c r="I213" s="10"/>
      <c r="J213" s="12">
        <v>1850000</v>
      </c>
      <c r="K213" s="13">
        <f t="shared" si="3"/>
        <v>0</v>
      </c>
    </row>
    <row r="214" spans="2:11" x14ac:dyDescent="0.3">
      <c r="B214" s="10">
        <v>204</v>
      </c>
      <c r="C214" s="10" t="s">
        <v>419</v>
      </c>
      <c r="D214" s="10" t="s">
        <v>286</v>
      </c>
      <c r="E214" s="10" t="s">
        <v>420</v>
      </c>
      <c r="F214" s="10"/>
      <c r="G214" s="11" t="s">
        <v>442</v>
      </c>
      <c r="H214" s="10" t="s">
        <v>289</v>
      </c>
      <c r="I214" s="10"/>
      <c r="J214" s="12">
        <v>450000</v>
      </c>
      <c r="K214" s="13">
        <f t="shared" si="3"/>
        <v>0</v>
      </c>
    </row>
    <row r="215" spans="2:11" x14ac:dyDescent="0.3">
      <c r="B215" s="10">
        <v>205</v>
      </c>
      <c r="C215" s="10" t="s">
        <v>443</v>
      </c>
      <c r="D215" s="10" t="s">
        <v>24</v>
      </c>
      <c r="E215" s="10" t="s">
        <v>444</v>
      </c>
      <c r="F215" s="10"/>
      <c r="G215" s="11" t="s">
        <v>445</v>
      </c>
      <c r="H215" s="10" t="s">
        <v>289</v>
      </c>
      <c r="I215" s="10"/>
      <c r="J215" s="12">
        <v>300000</v>
      </c>
      <c r="K215" s="13">
        <f t="shared" si="3"/>
        <v>0</v>
      </c>
    </row>
    <row r="216" spans="2:11" x14ac:dyDescent="0.3">
      <c r="B216" s="10">
        <v>206</v>
      </c>
      <c r="C216" s="10" t="s">
        <v>443</v>
      </c>
      <c r="D216" s="10" t="s">
        <v>286</v>
      </c>
      <c r="E216" s="10" t="s">
        <v>444</v>
      </c>
      <c r="F216" s="10"/>
      <c r="G216" s="11" t="s">
        <v>446</v>
      </c>
      <c r="H216" s="10" t="s">
        <v>297</v>
      </c>
      <c r="I216" s="10"/>
      <c r="J216" s="12">
        <v>200000</v>
      </c>
      <c r="K216" s="13">
        <f t="shared" si="3"/>
        <v>0</v>
      </c>
    </row>
    <row r="217" spans="2:11" x14ac:dyDescent="0.3">
      <c r="B217" s="10">
        <v>207</v>
      </c>
      <c r="C217" s="10" t="s">
        <v>443</v>
      </c>
      <c r="D217" s="10" t="s">
        <v>286</v>
      </c>
      <c r="E217" s="10" t="s">
        <v>444</v>
      </c>
      <c r="F217" s="10"/>
      <c r="G217" s="11" t="s">
        <v>447</v>
      </c>
      <c r="H217" s="10" t="s">
        <v>297</v>
      </c>
      <c r="I217" s="10"/>
      <c r="J217" s="12">
        <v>350000</v>
      </c>
      <c r="K217" s="13">
        <f t="shared" si="3"/>
        <v>0</v>
      </c>
    </row>
    <row r="218" spans="2:11" x14ac:dyDescent="0.3">
      <c r="B218" s="10">
        <v>208</v>
      </c>
      <c r="C218" s="10" t="s">
        <v>443</v>
      </c>
      <c r="D218" s="10" t="s">
        <v>286</v>
      </c>
      <c r="E218" s="10" t="s">
        <v>444</v>
      </c>
      <c r="F218" s="10"/>
      <c r="G218" s="11" t="s">
        <v>448</v>
      </c>
      <c r="H218" s="10" t="s">
        <v>297</v>
      </c>
      <c r="I218" s="10"/>
      <c r="J218" s="12">
        <v>400000</v>
      </c>
      <c r="K218" s="13">
        <f t="shared" si="3"/>
        <v>0</v>
      </c>
    </row>
    <row r="219" spans="2:11" x14ac:dyDescent="0.3">
      <c r="B219" s="10">
        <v>209</v>
      </c>
      <c r="C219" s="10" t="s">
        <v>443</v>
      </c>
      <c r="D219" s="10" t="s">
        <v>286</v>
      </c>
      <c r="E219" s="10" t="s">
        <v>420</v>
      </c>
      <c r="F219" s="10"/>
      <c r="G219" s="11" t="s">
        <v>449</v>
      </c>
      <c r="H219" s="10" t="s">
        <v>297</v>
      </c>
      <c r="I219" s="10"/>
      <c r="J219" s="12">
        <v>2400000</v>
      </c>
      <c r="K219" s="13">
        <f t="shared" si="3"/>
        <v>0</v>
      </c>
    </row>
    <row r="220" spans="2:11" x14ac:dyDescent="0.3">
      <c r="B220" s="10">
        <v>210</v>
      </c>
      <c r="C220" s="10" t="s">
        <v>443</v>
      </c>
      <c r="D220" s="10" t="s">
        <v>24</v>
      </c>
      <c r="E220" s="10" t="s">
        <v>444</v>
      </c>
      <c r="F220" s="10"/>
      <c r="G220" s="11" t="s">
        <v>450</v>
      </c>
      <c r="H220" s="10" t="s">
        <v>451</v>
      </c>
      <c r="I220" s="10"/>
      <c r="J220" s="12">
        <v>20000</v>
      </c>
      <c r="K220" s="13">
        <f t="shared" si="3"/>
        <v>0</v>
      </c>
    </row>
    <row r="221" spans="2:11" x14ac:dyDescent="0.3">
      <c r="B221" s="10">
        <v>211</v>
      </c>
      <c r="C221" s="10" t="s">
        <v>443</v>
      </c>
      <c r="D221" s="10" t="s">
        <v>24</v>
      </c>
      <c r="E221" s="10" t="s">
        <v>444</v>
      </c>
      <c r="F221" s="10"/>
      <c r="G221" s="11" t="s">
        <v>450</v>
      </c>
      <c r="H221" s="10" t="s">
        <v>452</v>
      </c>
      <c r="I221" s="10"/>
      <c r="J221" s="12">
        <v>100000</v>
      </c>
      <c r="K221" s="13">
        <f t="shared" si="3"/>
        <v>0</v>
      </c>
    </row>
    <row r="222" spans="2:11" x14ac:dyDescent="0.3">
      <c r="B222" s="10">
        <v>212</v>
      </c>
      <c r="C222" s="10" t="s">
        <v>443</v>
      </c>
      <c r="D222" s="10" t="s">
        <v>24</v>
      </c>
      <c r="E222" s="10" t="s">
        <v>444</v>
      </c>
      <c r="F222" s="10"/>
      <c r="G222" s="11" t="s">
        <v>453</v>
      </c>
      <c r="H222" s="10" t="s">
        <v>451</v>
      </c>
      <c r="I222" s="10"/>
      <c r="J222" s="12">
        <v>20000</v>
      </c>
      <c r="K222" s="13">
        <f t="shared" si="3"/>
        <v>0</v>
      </c>
    </row>
    <row r="223" spans="2:11" x14ac:dyDescent="0.3">
      <c r="B223" s="10">
        <v>213</v>
      </c>
      <c r="C223" s="10" t="s">
        <v>443</v>
      </c>
      <c r="D223" s="10" t="s">
        <v>24</v>
      </c>
      <c r="E223" s="10" t="s">
        <v>444</v>
      </c>
      <c r="F223" s="10"/>
      <c r="G223" s="11" t="s">
        <v>453</v>
      </c>
      <c r="H223" s="10" t="s">
        <v>452</v>
      </c>
      <c r="I223" s="10"/>
      <c r="J223" s="12">
        <v>100000</v>
      </c>
      <c r="K223" s="13">
        <f t="shared" si="3"/>
        <v>0</v>
      </c>
    </row>
    <row r="224" spans="2:11" x14ac:dyDescent="0.3">
      <c r="B224" s="10">
        <v>214</v>
      </c>
      <c r="C224" s="10" t="s">
        <v>443</v>
      </c>
      <c r="D224" s="10" t="s">
        <v>24</v>
      </c>
      <c r="E224" s="10" t="s">
        <v>444</v>
      </c>
      <c r="F224" s="10"/>
      <c r="G224" s="11" t="s">
        <v>454</v>
      </c>
      <c r="H224" s="10" t="s">
        <v>451</v>
      </c>
      <c r="I224" s="10"/>
      <c r="J224" s="12">
        <v>20000</v>
      </c>
      <c r="K224" s="13">
        <f t="shared" si="3"/>
        <v>0</v>
      </c>
    </row>
    <row r="225" spans="2:11" x14ac:dyDescent="0.3">
      <c r="B225" s="10">
        <v>215</v>
      </c>
      <c r="C225" s="10" t="s">
        <v>443</v>
      </c>
      <c r="D225" s="10" t="s">
        <v>24</v>
      </c>
      <c r="E225" s="10" t="s">
        <v>444</v>
      </c>
      <c r="F225" s="10"/>
      <c r="G225" s="11" t="s">
        <v>454</v>
      </c>
      <c r="H225" s="10" t="s">
        <v>452</v>
      </c>
      <c r="I225" s="10"/>
      <c r="J225" s="12">
        <v>100000</v>
      </c>
      <c r="K225" s="13">
        <f t="shared" si="3"/>
        <v>0</v>
      </c>
    </row>
    <row r="226" spans="2:11" x14ac:dyDescent="0.3">
      <c r="B226" s="10">
        <v>216</v>
      </c>
      <c r="C226" s="10" t="s">
        <v>443</v>
      </c>
      <c r="D226" s="10" t="s">
        <v>24</v>
      </c>
      <c r="E226" s="10" t="s">
        <v>444</v>
      </c>
      <c r="F226" s="10"/>
      <c r="G226" s="11" t="s">
        <v>455</v>
      </c>
      <c r="H226" s="10" t="s">
        <v>451</v>
      </c>
      <c r="I226" s="10"/>
      <c r="J226" s="12">
        <v>25000</v>
      </c>
      <c r="K226" s="13">
        <f t="shared" si="3"/>
        <v>0</v>
      </c>
    </row>
    <row r="227" spans="2:11" x14ac:dyDescent="0.3">
      <c r="B227" s="10">
        <v>217</v>
      </c>
      <c r="C227" s="10" t="s">
        <v>443</v>
      </c>
      <c r="D227" s="10" t="s">
        <v>24</v>
      </c>
      <c r="E227" s="10" t="s">
        <v>444</v>
      </c>
      <c r="F227" s="10"/>
      <c r="G227" s="11" t="s">
        <v>455</v>
      </c>
      <c r="H227" s="10" t="s">
        <v>452</v>
      </c>
      <c r="I227" s="10"/>
      <c r="J227" s="12">
        <v>125000</v>
      </c>
      <c r="K227" s="13">
        <f t="shared" si="3"/>
        <v>0</v>
      </c>
    </row>
    <row r="228" spans="2:11" x14ac:dyDescent="0.3">
      <c r="B228" s="10">
        <v>218</v>
      </c>
      <c r="C228" s="10" t="s">
        <v>443</v>
      </c>
      <c r="D228" s="10" t="s">
        <v>24</v>
      </c>
      <c r="E228" s="10" t="s">
        <v>444</v>
      </c>
      <c r="F228" s="10"/>
      <c r="G228" s="11" t="s">
        <v>456</v>
      </c>
      <c r="H228" s="10" t="s">
        <v>451</v>
      </c>
      <c r="I228" s="10"/>
      <c r="J228" s="12">
        <v>57000</v>
      </c>
      <c r="K228" s="13">
        <f t="shared" si="3"/>
        <v>0</v>
      </c>
    </row>
    <row r="229" spans="2:11" x14ac:dyDescent="0.3">
      <c r="B229" s="10">
        <v>219</v>
      </c>
      <c r="C229" s="10" t="s">
        <v>443</v>
      </c>
      <c r="D229" s="10" t="s">
        <v>24</v>
      </c>
      <c r="E229" s="10" t="s">
        <v>444</v>
      </c>
      <c r="F229" s="10"/>
      <c r="G229" s="11" t="s">
        <v>456</v>
      </c>
      <c r="H229" s="10" t="s">
        <v>452</v>
      </c>
      <c r="I229" s="10"/>
      <c r="J229" s="12">
        <v>285000</v>
      </c>
      <c r="K229" s="13">
        <f t="shared" si="3"/>
        <v>0</v>
      </c>
    </row>
    <row r="230" spans="2:11" x14ac:dyDescent="0.3">
      <c r="B230" s="10">
        <v>220</v>
      </c>
      <c r="C230" s="10" t="s">
        <v>443</v>
      </c>
      <c r="D230" s="10" t="s">
        <v>24</v>
      </c>
      <c r="E230" s="10" t="s">
        <v>444</v>
      </c>
      <c r="F230" s="10"/>
      <c r="G230" s="11" t="s">
        <v>457</v>
      </c>
      <c r="H230" s="10" t="s">
        <v>451</v>
      </c>
      <c r="I230" s="10"/>
      <c r="J230" s="12">
        <v>70000</v>
      </c>
      <c r="K230" s="13">
        <f t="shared" si="3"/>
        <v>0</v>
      </c>
    </row>
    <row r="231" spans="2:11" x14ac:dyDescent="0.3">
      <c r="B231" s="10">
        <v>221</v>
      </c>
      <c r="C231" s="10" t="s">
        <v>443</v>
      </c>
      <c r="D231" s="10" t="s">
        <v>24</v>
      </c>
      <c r="E231" s="10" t="s">
        <v>444</v>
      </c>
      <c r="F231" s="10"/>
      <c r="G231" s="11" t="s">
        <v>457</v>
      </c>
      <c r="H231" s="10" t="s">
        <v>452</v>
      </c>
      <c r="I231" s="10"/>
      <c r="J231" s="12">
        <v>350000</v>
      </c>
      <c r="K231" s="13">
        <f t="shared" si="3"/>
        <v>0</v>
      </c>
    </row>
    <row r="232" spans="2:11" x14ac:dyDescent="0.3">
      <c r="B232" s="10">
        <v>222</v>
      </c>
      <c r="C232" s="10" t="s">
        <v>443</v>
      </c>
      <c r="D232" s="10" t="s">
        <v>24</v>
      </c>
      <c r="E232" s="10" t="s">
        <v>444</v>
      </c>
      <c r="F232" s="10"/>
      <c r="G232" s="11" t="s">
        <v>458</v>
      </c>
      <c r="H232" s="10" t="s">
        <v>451</v>
      </c>
      <c r="I232" s="10"/>
      <c r="J232" s="12">
        <v>112000</v>
      </c>
      <c r="K232" s="13">
        <f t="shared" si="3"/>
        <v>0</v>
      </c>
    </row>
    <row r="233" spans="2:11" x14ac:dyDescent="0.3">
      <c r="B233" s="10">
        <v>223</v>
      </c>
      <c r="C233" s="10" t="s">
        <v>443</v>
      </c>
      <c r="D233" s="10" t="s">
        <v>24</v>
      </c>
      <c r="E233" s="10" t="s">
        <v>444</v>
      </c>
      <c r="F233" s="10"/>
      <c r="G233" s="11" t="s">
        <v>458</v>
      </c>
      <c r="H233" s="10" t="s">
        <v>452</v>
      </c>
      <c r="I233" s="10"/>
      <c r="J233" s="12">
        <v>560000</v>
      </c>
      <c r="K233" s="13">
        <f t="shared" si="3"/>
        <v>0</v>
      </c>
    </row>
    <row r="234" spans="2:11" x14ac:dyDescent="0.3">
      <c r="B234" s="10">
        <v>224</v>
      </c>
      <c r="C234" s="10" t="s">
        <v>443</v>
      </c>
      <c r="D234" s="10" t="s">
        <v>24</v>
      </c>
      <c r="E234" s="10" t="s">
        <v>444</v>
      </c>
      <c r="F234" s="10"/>
      <c r="G234" s="11" t="s">
        <v>459</v>
      </c>
      <c r="H234" s="10" t="s">
        <v>451</v>
      </c>
      <c r="I234" s="10"/>
      <c r="J234" s="12">
        <v>175000</v>
      </c>
      <c r="K234" s="13">
        <f t="shared" si="3"/>
        <v>0</v>
      </c>
    </row>
    <row r="235" spans="2:11" x14ac:dyDescent="0.3">
      <c r="B235" s="10">
        <v>225</v>
      </c>
      <c r="C235" s="10" t="s">
        <v>443</v>
      </c>
      <c r="D235" s="10" t="s">
        <v>24</v>
      </c>
      <c r="E235" s="10" t="s">
        <v>444</v>
      </c>
      <c r="F235" s="10"/>
      <c r="G235" s="11" t="s">
        <v>459</v>
      </c>
      <c r="H235" s="10" t="s">
        <v>452</v>
      </c>
      <c r="I235" s="10"/>
      <c r="J235" s="12">
        <v>875000</v>
      </c>
      <c r="K235" s="13">
        <f t="shared" si="3"/>
        <v>0</v>
      </c>
    </row>
    <row r="236" spans="2:11" x14ac:dyDescent="0.3">
      <c r="B236" s="10">
        <v>226</v>
      </c>
      <c r="C236" s="10" t="s">
        <v>443</v>
      </c>
      <c r="D236" s="10" t="s">
        <v>24</v>
      </c>
      <c r="E236" s="10" t="s">
        <v>444</v>
      </c>
      <c r="F236" s="10"/>
      <c r="G236" s="11" t="s">
        <v>460</v>
      </c>
      <c r="H236" s="10" t="s">
        <v>451</v>
      </c>
      <c r="I236" s="10"/>
      <c r="J236" s="12">
        <v>237000</v>
      </c>
      <c r="K236" s="13">
        <f t="shared" si="3"/>
        <v>0</v>
      </c>
    </row>
    <row r="237" spans="2:11" x14ac:dyDescent="0.3">
      <c r="B237" s="10">
        <v>227</v>
      </c>
      <c r="C237" s="10" t="s">
        <v>443</v>
      </c>
      <c r="D237" s="10" t="s">
        <v>24</v>
      </c>
      <c r="E237" s="10" t="s">
        <v>444</v>
      </c>
      <c r="F237" s="10"/>
      <c r="G237" s="11" t="s">
        <v>460</v>
      </c>
      <c r="H237" s="10" t="s">
        <v>452</v>
      </c>
      <c r="I237" s="10"/>
      <c r="J237" s="12">
        <v>1185000</v>
      </c>
      <c r="K237" s="13">
        <f t="shared" si="3"/>
        <v>0</v>
      </c>
    </row>
    <row r="238" spans="2:11" x14ac:dyDescent="0.3">
      <c r="B238" s="10">
        <v>228</v>
      </c>
      <c r="C238" s="10" t="s">
        <v>443</v>
      </c>
      <c r="D238" s="10" t="s">
        <v>24</v>
      </c>
      <c r="E238" s="10" t="s">
        <v>444</v>
      </c>
      <c r="F238" s="10"/>
      <c r="G238" s="11" t="s">
        <v>461</v>
      </c>
      <c r="H238" s="10" t="s">
        <v>451</v>
      </c>
      <c r="I238" s="10"/>
      <c r="J238" s="12">
        <v>325000</v>
      </c>
      <c r="K238" s="13">
        <f t="shared" si="3"/>
        <v>0</v>
      </c>
    </row>
    <row r="239" spans="2:11" x14ac:dyDescent="0.3">
      <c r="B239" s="10">
        <v>229</v>
      </c>
      <c r="C239" s="10" t="s">
        <v>443</v>
      </c>
      <c r="D239" s="10" t="s">
        <v>24</v>
      </c>
      <c r="E239" s="10" t="s">
        <v>444</v>
      </c>
      <c r="F239" s="10"/>
      <c r="G239" s="11" t="s">
        <v>461</v>
      </c>
      <c r="H239" s="10" t="s">
        <v>452</v>
      </c>
      <c r="I239" s="10"/>
      <c r="J239" s="12">
        <v>1625000</v>
      </c>
      <c r="K239" s="13">
        <f t="shared" si="3"/>
        <v>0</v>
      </c>
    </row>
    <row r="240" spans="2:11" x14ac:dyDescent="0.3">
      <c r="B240" s="10">
        <v>230</v>
      </c>
      <c r="C240" s="10" t="s">
        <v>443</v>
      </c>
      <c r="D240" s="10" t="s">
        <v>24</v>
      </c>
      <c r="E240" s="10" t="s">
        <v>420</v>
      </c>
      <c r="F240" s="10"/>
      <c r="G240" s="11" t="s">
        <v>462</v>
      </c>
      <c r="H240" s="10" t="s">
        <v>451</v>
      </c>
      <c r="I240" s="10"/>
      <c r="J240" s="12">
        <v>18000</v>
      </c>
      <c r="K240" s="13">
        <f t="shared" si="3"/>
        <v>0</v>
      </c>
    </row>
    <row r="241" spans="2:11" x14ac:dyDescent="0.3">
      <c r="B241" s="10">
        <v>231</v>
      </c>
      <c r="C241" s="10" t="s">
        <v>443</v>
      </c>
      <c r="D241" s="10" t="s">
        <v>24</v>
      </c>
      <c r="E241" s="10" t="s">
        <v>420</v>
      </c>
      <c r="F241" s="10"/>
      <c r="G241" s="11" t="s">
        <v>462</v>
      </c>
      <c r="H241" s="10" t="s">
        <v>451</v>
      </c>
      <c r="I241" s="10"/>
      <c r="J241" s="12">
        <v>18000</v>
      </c>
      <c r="K241" s="13">
        <f t="shared" si="3"/>
        <v>0</v>
      </c>
    </row>
    <row r="242" spans="2:11" x14ac:dyDescent="0.3">
      <c r="B242" s="10">
        <v>232</v>
      </c>
      <c r="C242" s="10" t="s">
        <v>443</v>
      </c>
      <c r="D242" s="10" t="s">
        <v>24</v>
      </c>
      <c r="E242" s="10" t="s">
        <v>420</v>
      </c>
      <c r="F242" s="10"/>
      <c r="G242" s="11" t="s">
        <v>463</v>
      </c>
      <c r="H242" s="10" t="s">
        <v>451</v>
      </c>
      <c r="I242" s="10"/>
      <c r="J242" s="12">
        <v>24000</v>
      </c>
      <c r="K242" s="13">
        <f t="shared" si="3"/>
        <v>0</v>
      </c>
    </row>
    <row r="243" spans="2:11" x14ac:dyDescent="0.3">
      <c r="B243" s="10">
        <v>233</v>
      </c>
      <c r="C243" s="10" t="s">
        <v>443</v>
      </c>
      <c r="D243" s="10" t="s">
        <v>24</v>
      </c>
      <c r="E243" s="10" t="s">
        <v>420</v>
      </c>
      <c r="F243" s="10"/>
      <c r="G243" s="11" t="s">
        <v>463</v>
      </c>
      <c r="H243" s="10" t="s">
        <v>451</v>
      </c>
      <c r="I243" s="10"/>
      <c r="J243" s="12">
        <v>24000</v>
      </c>
      <c r="K243" s="13">
        <f t="shared" si="3"/>
        <v>0</v>
      </c>
    </row>
    <row r="244" spans="2:11" x14ac:dyDescent="0.3">
      <c r="B244" s="10">
        <v>234</v>
      </c>
      <c r="C244" s="10" t="s">
        <v>443</v>
      </c>
      <c r="D244" s="10" t="s">
        <v>24</v>
      </c>
      <c r="E244" s="10" t="s">
        <v>420</v>
      </c>
      <c r="F244" s="10"/>
      <c r="G244" s="11" t="s">
        <v>464</v>
      </c>
      <c r="H244" s="10" t="s">
        <v>451</v>
      </c>
      <c r="I244" s="10"/>
      <c r="J244" s="12">
        <v>35000</v>
      </c>
      <c r="K244" s="13">
        <f t="shared" si="3"/>
        <v>0</v>
      </c>
    </row>
    <row r="245" spans="2:11" x14ac:dyDescent="0.3">
      <c r="B245" s="10">
        <v>235</v>
      </c>
      <c r="C245" s="10" t="s">
        <v>443</v>
      </c>
      <c r="D245" s="10" t="s">
        <v>24</v>
      </c>
      <c r="E245" s="10" t="s">
        <v>420</v>
      </c>
      <c r="F245" s="10"/>
      <c r="G245" s="11" t="s">
        <v>464</v>
      </c>
      <c r="H245" s="10" t="s">
        <v>451</v>
      </c>
      <c r="I245" s="10"/>
      <c r="J245" s="12">
        <v>35000</v>
      </c>
      <c r="K245" s="13">
        <f t="shared" si="3"/>
        <v>0</v>
      </c>
    </row>
    <row r="246" spans="2:11" x14ac:dyDescent="0.3">
      <c r="B246" s="10">
        <v>236</v>
      </c>
      <c r="C246" s="10" t="s">
        <v>443</v>
      </c>
      <c r="D246" s="10" t="s">
        <v>24</v>
      </c>
      <c r="E246" s="10" t="s">
        <v>420</v>
      </c>
      <c r="F246" s="10"/>
      <c r="G246" s="11" t="s">
        <v>465</v>
      </c>
      <c r="H246" s="10" t="s">
        <v>451</v>
      </c>
      <c r="I246" s="10"/>
      <c r="J246" s="12">
        <v>35000</v>
      </c>
      <c r="K246" s="13">
        <f t="shared" si="3"/>
        <v>0</v>
      </c>
    </row>
    <row r="247" spans="2:11" x14ac:dyDescent="0.3">
      <c r="B247" s="10">
        <v>237</v>
      </c>
      <c r="C247" s="10" t="s">
        <v>443</v>
      </c>
      <c r="D247" s="10" t="s">
        <v>24</v>
      </c>
      <c r="E247" s="10" t="s">
        <v>420</v>
      </c>
      <c r="F247" s="10"/>
      <c r="G247" s="11" t="s">
        <v>465</v>
      </c>
      <c r="H247" s="10" t="s">
        <v>451</v>
      </c>
      <c r="I247" s="10"/>
      <c r="J247" s="12">
        <v>35000</v>
      </c>
      <c r="K247" s="13">
        <f t="shared" si="3"/>
        <v>0</v>
      </c>
    </row>
    <row r="248" spans="2:11" x14ac:dyDescent="0.3">
      <c r="B248" s="10">
        <v>238</v>
      </c>
      <c r="C248" s="10" t="s">
        <v>443</v>
      </c>
      <c r="D248" s="10" t="s">
        <v>24</v>
      </c>
      <c r="E248" s="10" t="s">
        <v>420</v>
      </c>
      <c r="F248" s="10"/>
      <c r="G248" s="11" t="s">
        <v>466</v>
      </c>
      <c r="H248" s="10" t="s">
        <v>451</v>
      </c>
      <c r="I248" s="10"/>
      <c r="J248" s="12">
        <v>45000</v>
      </c>
      <c r="K248" s="13">
        <f t="shared" si="3"/>
        <v>0</v>
      </c>
    </row>
    <row r="249" spans="2:11" x14ac:dyDescent="0.3">
      <c r="B249" s="10">
        <v>239</v>
      </c>
      <c r="C249" s="10" t="s">
        <v>443</v>
      </c>
      <c r="D249" s="10" t="s">
        <v>24</v>
      </c>
      <c r="E249" s="10" t="s">
        <v>420</v>
      </c>
      <c r="F249" s="10"/>
      <c r="G249" s="11" t="s">
        <v>466</v>
      </c>
      <c r="H249" s="10" t="s">
        <v>451</v>
      </c>
      <c r="I249" s="10"/>
      <c r="J249" s="12">
        <v>45000</v>
      </c>
      <c r="K249" s="13">
        <f t="shared" si="3"/>
        <v>0</v>
      </c>
    </row>
    <row r="250" spans="2:11" x14ac:dyDescent="0.3">
      <c r="B250" s="10">
        <v>240</v>
      </c>
      <c r="C250" s="10" t="s">
        <v>443</v>
      </c>
      <c r="D250" s="10" t="s">
        <v>24</v>
      </c>
      <c r="E250" s="10" t="s">
        <v>420</v>
      </c>
      <c r="F250" s="10"/>
      <c r="G250" s="11" t="s">
        <v>467</v>
      </c>
      <c r="H250" s="10" t="s">
        <v>451</v>
      </c>
      <c r="I250" s="10"/>
      <c r="J250" s="12">
        <v>55000</v>
      </c>
      <c r="K250" s="13">
        <f t="shared" si="3"/>
        <v>0</v>
      </c>
    </row>
    <row r="251" spans="2:11" x14ac:dyDescent="0.3">
      <c r="B251" s="10">
        <v>241</v>
      </c>
      <c r="C251" s="10" t="s">
        <v>443</v>
      </c>
      <c r="D251" s="10" t="s">
        <v>24</v>
      </c>
      <c r="E251" s="10" t="s">
        <v>420</v>
      </c>
      <c r="F251" s="10"/>
      <c r="G251" s="11" t="s">
        <v>467</v>
      </c>
      <c r="H251" s="10" t="s">
        <v>451</v>
      </c>
      <c r="I251" s="10"/>
      <c r="J251" s="12">
        <v>55000</v>
      </c>
      <c r="K251" s="13">
        <f t="shared" si="3"/>
        <v>0</v>
      </c>
    </row>
    <row r="252" spans="2:11" x14ac:dyDescent="0.3">
      <c r="B252" s="10">
        <v>242</v>
      </c>
      <c r="C252" s="10" t="s">
        <v>443</v>
      </c>
      <c r="D252" s="10" t="s">
        <v>24</v>
      </c>
      <c r="E252" s="10" t="s">
        <v>420</v>
      </c>
      <c r="F252" s="10"/>
      <c r="G252" s="11" t="s">
        <v>468</v>
      </c>
      <c r="H252" s="10" t="s">
        <v>451</v>
      </c>
      <c r="I252" s="10"/>
      <c r="J252" s="12">
        <v>65000</v>
      </c>
      <c r="K252" s="13">
        <f t="shared" si="3"/>
        <v>0</v>
      </c>
    </row>
    <row r="253" spans="2:11" x14ac:dyDescent="0.3">
      <c r="B253" s="10">
        <v>243</v>
      </c>
      <c r="C253" s="10" t="s">
        <v>443</v>
      </c>
      <c r="D253" s="10" t="s">
        <v>24</v>
      </c>
      <c r="E253" s="10" t="s">
        <v>420</v>
      </c>
      <c r="F253" s="10"/>
      <c r="G253" s="11" t="s">
        <v>468</v>
      </c>
      <c r="H253" s="10" t="s">
        <v>451</v>
      </c>
      <c r="I253" s="10"/>
      <c r="J253" s="12">
        <v>65000</v>
      </c>
      <c r="K253" s="13">
        <f t="shared" si="3"/>
        <v>0</v>
      </c>
    </row>
    <row r="254" spans="2:11" x14ac:dyDescent="0.3">
      <c r="B254" s="10">
        <v>244</v>
      </c>
      <c r="C254" s="10" t="s">
        <v>443</v>
      </c>
      <c r="D254" s="10" t="s">
        <v>24</v>
      </c>
      <c r="E254" s="10" t="s">
        <v>420</v>
      </c>
      <c r="F254" s="10"/>
      <c r="G254" s="11" t="s">
        <v>469</v>
      </c>
      <c r="H254" s="10" t="s">
        <v>451</v>
      </c>
      <c r="I254" s="10"/>
      <c r="J254" s="12">
        <v>75000</v>
      </c>
      <c r="K254" s="13">
        <f t="shared" si="3"/>
        <v>0</v>
      </c>
    </row>
    <row r="255" spans="2:11" x14ac:dyDescent="0.3">
      <c r="B255" s="10">
        <v>245</v>
      </c>
      <c r="C255" s="10" t="s">
        <v>443</v>
      </c>
      <c r="D255" s="10" t="s">
        <v>24</v>
      </c>
      <c r="E255" s="10" t="s">
        <v>420</v>
      </c>
      <c r="F255" s="10"/>
      <c r="G255" s="11" t="s">
        <v>469</v>
      </c>
      <c r="H255" s="10" t="s">
        <v>451</v>
      </c>
      <c r="I255" s="10"/>
      <c r="J255" s="12">
        <v>75000</v>
      </c>
      <c r="K255" s="13">
        <f t="shared" si="3"/>
        <v>0</v>
      </c>
    </row>
    <row r="256" spans="2:11" x14ac:dyDescent="0.3">
      <c r="B256" s="10">
        <v>246</v>
      </c>
      <c r="C256" s="10" t="s">
        <v>443</v>
      </c>
      <c r="D256" s="10" t="s">
        <v>24</v>
      </c>
      <c r="E256" s="10" t="s">
        <v>420</v>
      </c>
      <c r="F256" s="10"/>
      <c r="G256" s="11" t="s">
        <v>470</v>
      </c>
      <c r="H256" s="10" t="s">
        <v>451</v>
      </c>
      <c r="I256" s="10"/>
      <c r="J256" s="12">
        <v>95000</v>
      </c>
      <c r="K256" s="13">
        <f t="shared" si="3"/>
        <v>0</v>
      </c>
    </row>
    <row r="257" spans="2:11" x14ac:dyDescent="0.3">
      <c r="B257" s="10">
        <v>247</v>
      </c>
      <c r="C257" s="10" t="s">
        <v>443</v>
      </c>
      <c r="D257" s="10" t="s">
        <v>24</v>
      </c>
      <c r="E257" s="10" t="s">
        <v>420</v>
      </c>
      <c r="F257" s="10"/>
      <c r="G257" s="11" t="s">
        <v>470</v>
      </c>
      <c r="H257" s="10" t="s">
        <v>451</v>
      </c>
      <c r="I257" s="10"/>
      <c r="J257" s="12">
        <v>95000</v>
      </c>
      <c r="K257" s="13">
        <f t="shared" si="3"/>
        <v>0</v>
      </c>
    </row>
    <row r="258" spans="2:11" x14ac:dyDescent="0.3">
      <c r="B258" s="10">
        <v>248</v>
      </c>
      <c r="C258" s="10" t="s">
        <v>471</v>
      </c>
      <c r="D258" s="10" t="s">
        <v>286</v>
      </c>
      <c r="E258" s="10" t="s">
        <v>444</v>
      </c>
      <c r="F258" s="10"/>
      <c r="G258" s="11" t="s">
        <v>472</v>
      </c>
      <c r="H258" s="10" t="s">
        <v>297</v>
      </c>
      <c r="I258" s="10"/>
      <c r="J258" s="12">
        <v>200000</v>
      </c>
      <c r="K258" s="13">
        <f t="shared" si="3"/>
        <v>0</v>
      </c>
    </row>
    <row r="259" spans="2:11" x14ac:dyDescent="0.3">
      <c r="B259" s="10">
        <v>249</v>
      </c>
      <c r="C259" s="10" t="s">
        <v>471</v>
      </c>
      <c r="D259" s="10" t="s">
        <v>286</v>
      </c>
      <c r="E259" s="10" t="s">
        <v>444</v>
      </c>
      <c r="F259" s="10"/>
      <c r="G259" s="11" t="s">
        <v>473</v>
      </c>
      <c r="H259" s="10" t="s">
        <v>297</v>
      </c>
      <c r="I259" s="10"/>
      <c r="J259" s="12">
        <v>150000</v>
      </c>
      <c r="K259" s="13">
        <f t="shared" si="3"/>
        <v>0</v>
      </c>
    </row>
    <row r="260" spans="2:11" x14ac:dyDescent="0.3">
      <c r="B260" s="10">
        <v>250</v>
      </c>
      <c r="C260" s="10" t="s">
        <v>471</v>
      </c>
      <c r="D260" s="10" t="s">
        <v>286</v>
      </c>
      <c r="E260" s="10" t="s">
        <v>444</v>
      </c>
      <c r="F260" s="10"/>
      <c r="G260" s="11" t="s">
        <v>474</v>
      </c>
      <c r="H260" s="10" t="s">
        <v>297</v>
      </c>
      <c r="I260" s="10"/>
      <c r="J260" s="12">
        <v>120000</v>
      </c>
      <c r="K260" s="13">
        <f t="shared" si="3"/>
        <v>0</v>
      </c>
    </row>
    <row r="261" spans="2:11" x14ac:dyDescent="0.3">
      <c r="B261" s="10">
        <v>251</v>
      </c>
      <c r="C261" s="10" t="s">
        <v>471</v>
      </c>
      <c r="D261" s="10" t="s">
        <v>286</v>
      </c>
      <c r="E261" s="10" t="s">
        <v>444</v>
      </c>
      <c r="F261" s="10"/>
      <c r="G261" s="11" t="s">
        <v>475</v>
      </c>
      <c r="H261" s="10" t="s">
        <v>297</v>
      </c>
      <c r="I261" s="10"/>
      <c r="J261" s="12">
        <v>80000</v>
      </c>
      <c r="K261" s="13">
        <f t="shared" si="3"/>
        <v>0</v>
      </c>
    </row>
    <row r="262" spans="2:11" x14ac:dyDescent="0.3">
      <c r="B262" s="10">
        <v>252</v>
      </c>
      <c r="C262" s="10" t="s">
        <v>471</v>
      </c>
      <c r="D262" s="10" t="s">
        <v>286</v>
      </c>
      <c r="E262" s="10" t="s">
        <v>444</v>
      </c>
      <c r="F262" s="10"/>
      <c r="G262" s="11" t="s">
        <v>476</v>
      </c>
      <c r="H262" s="10" t="s">
        <v>297</v>
      </c>
      <c r="I262" s="10"/>
      <c r="J262" s="12">
        <v>50000</v>
      </c>
      <c r="K262" s="13">
        <f t="shared" si="3"/>
        <v>0</v>
      </c>
    </row>
    <row r="263" spans="2:11" x14ac:dyDescent="0.3">
      <c r="B263" s="10">
        <v>253</v>
      </c>
      <c r="C263" s="10" t="s">
        <v>471</v>
      </c>
      <c r="D263" s="10" t="s">
        <v>286</v>
      </c>
      <c r="E263" s="10" t="s">
        <v>420</v>
      </c>
      <c r="F263" s="10"/>
      <c r="G263" s="11" t="s">
        <v>477</v>
      </c>
      <c r="H263" s="10" t="s">
        <v>297</v>
      </c>
      <c r="I263" s="10"/>
      <c r="J263" s="12">
        <v>70000</v>
      </c>
      <c r="K263" s="13">
        <f t="shared" si="3"/>
        <v>0</v>
      </c>
    </row>
    <row r="264" spans="2:11" x14ac:dyDescent="0.3">
      <c r="B264" s="10">
        <v>254</v>
      </c>
      <c r="C264" s="10" t="s">
        <v>471</v>
      </c>
      <c r="D264" s="10" t="s">
        <v>286</v>
      </c>
      <c r="E264" s="10" t="s">
        <v>420</v>
      </c>
      <c r="F264" s="10"/>
      <c r="G264" s="11" t="s">
        <v>478</v>
      </c>
      <c r="H264" s="10" t="s">
        <v>297</v>
      </c>
      <c r="I264" s="10"/>
      <c r="J264" s="12">
        <v>160000</v>
      </c>
      <c r="K264" s="13">
        <f t="shared" si="3"/>
        <v>0</v>
      </c>
    </row>
    <row r="265" spans="2:11" x14ac:dyDescent="0.3">
      <c r="B265" s="10">
        <v>255</v>
      </c>
      <c r="C265" s="10" t="s">
        <v>471</v>
      </c>
      <c r="D265" s="10" t="s">
        <v>286</v>
      </c>
      <c r="E265" s="10" t="s">
        <v>420</v>
      </c>
      <c r="F265" s="10"/>
      <c r="G265" s="11" t="s">
        <v>479</v>
      </c>
      <c r="H265" s="10" t="s">
        <v>297</v>
      </c>
      <c r="I265" s="10"/>
      <c r="J265" s="12">
        <v>280000</v>
      </c>
      <c r="K265" s="13">
        <f t="shared" si="3"/>
        <v>0</v>
      </c>
    </row>
    <row r="266" spans="2:11" x14ac:dyDescent="0.3">
      <c r="B266" s="10">
        <v>256</v>
      </c>
      <c r="C266" s="10" t="s">
        <v>471</v>
      </c>
      <c r="D266" s="10" t="s">
        <v>24</v>
      </c>
      <c r="E266" s="10" t="s">
        <v>420</v>
      </c>
      <c r="F266" s="10"/>
      <c r="G266" s="11" t="s">
        <v>480</v>
      </c>
      <c r="H266" s="10" t="s">
        <v>289</v>
      </c>
      <c r="I266" s="10"/>
      <c r="J266" s="12">
        <v>120000</v>
      </c>
      <c r="K266" s="13">
        <f t="shared" si="3"/>
        <v>0</v>
      </c>
    </row>
    <row r="267" spans="2:11" x14ac:dyDescent="0.3">
      <c r="B267" s="10">
        <v>257</v>
      </c>
      <c r="C267" s="10" t="s">
        <v>471</v>
      </c>
      <c r="D267" s="10" t="s">
        <v>24</v>
      </c>
      <c r="E267" s="10" t="s">
        <v>420</v>
      </c>
      <c r="F267" s="10"/>
      <c r="G267" s="11" t="s">
        <v>481</v>
      </c>
      <c r="H267" s="10" t="s">
        <v>297</v>
      </c>
      <c r="I267" s="10"/>
      <c r="J267" s="12">
        <v>160000</v>
      </c>
      <c r="K267" s="13">
        <f t="shared" si="3"/>
        <v>0</v>
      </c>
    </row>
    <row r="268" spans="2:11" x14ac:dyDescent="0.3">
      <c r="B268" s="10">
        <v>258</v>
      </c>
      <c r="C268" s="10" t="s">
        <v>471</v>
      </c>
      <c r="D268" s="10" t="s">
        <v>286</v>
      </c>
      <c r="E268" s="10" t="s">
        <v>420</v>
      </c>
      <c r="F268" s="10"/>
      <c r="G268" s="11" t="s">
        <v>482</v>
      </c>
      <c r="H268" s="10" t="s">
        <v>297</v>
      </c>
      <c r="I268" s="10"/>
      <c r="J268" s="12">
        <v>160000</v>
      </c>
      <c r="K268" s="13">
        <f t="shared" si="3"/>
        <v>0</v>
      </c>
    </row>
    <row r="269" spans="2:11" x14ac:dyDescent="0.3">
      <c r="B269" s="10">
        <v>259</v>
      </c>
      <c r="C269" s="10" t="s">
        <v>471</v>
      </c>
      <c r="D269" s="10" t="s">
        <v>24</v>
      </c>
      <c r="E269" s="10" t="s">
        <v>420</v>
      </c>
      <c r="F269" s="10"/>
      <c r="G269" s="11" t="s">
        <v>483</v>
      </c>
      <c r="H269" s="10" t="s">
        <v>289</v>
      </c>
      <c r="I269" s="10"/>
      <c r="J269" s="12">
        <v>140000</v>
      </c>
      <c r="K269" s="13">
        <f t="shared" si="3"/>
        <v>0</v>
      </c>
    </row>
    <row r="270" spans="2:11" x14ac:dyDescent="0.3">
      <c r="B270" s="10">
        <v>260</v>
      </c>
      <c r="C270" s="10" t="s">
        <v>471</v>
      </c>
      <c r="D270" s="10" t="s">
        <v>286</v>
      </c>
      <c r="E270" s="10" t="s">
        <v>444</v>
      </c>
      <c r="F270" s="10"/>
      <c r="G270" s="11" t="s">
        <v>484</v>
      </c>
      <c r="H270" s="10" t="s">
        <v>297</v>
      </c>
      <c r="I270" s="10"/>
      <c r="J270" s="12">
        <v>90000</v>
      </c>
      <c r="K270" s="13">
        <f t="shared" si="3"/>
        <v>0</v>
      </c>
    </row>
    <row r="271" spans="2:11" x14ac:dyDescent="0.3">
      <c r="B271" s="10">
        <v>261</v>
      </c>
      <c r="C271" s="10" t="s">
        <v>471</v>
      </c>
      <c r="D271" s="10" t="s">
        <v>286</v>
      </c>
      <c r="E271" s="10" t="s">
        <v>444</v>
      </c>
      <c r="F271" s="10"/>
      <c r="G271" s="11" t="s">
        <v>485</v>
      </c>
      <c r="H271" s="10" t="s">
        <v>297</v>
      </c>
      <c r="I271" s="10"/>
      <c r="J271" s="12">
        <v>3250000</v>
      </c>
      <c r="K271" s="13">
        <f t="shared" si="3"/>
        <v>0</v>
      </c>
    </row>
    <row r="272" spans="2:11" x14ac:dyDescent="0.3">
      <c r="B272" s="10">
        <v>262</v>
      </c>
      <c r="C272" s="10" t="s">
        <v>471</v>
      </c>
      <c r="D272" s="10" t="s">
        <v>24</v>
      </c>
      <c r="E272" s="10" t="s">
        <v>444</v>
      </c>
      <c r="F272" s="10"/>
      <c r="G272" s="11" t="s">
        <v>486</v>
      </c>
      <c r="H272" s="10" t="s">
        <v>289</v>
      </c>
      <c r="I272" s="10"/>
      <c r="J272" s="12">
        <v>325000</v>
      </c>
      <c r="K272" s="13">
        <f t="shared" ref="K272:K335" si="4">J272*I272</f>
        <v>0</v>
      </c>
    </row>
    <row r="273" spans="2:11" x14ac:dyDescent="0.3">
      <c r="B273" s="10">
        <v>263</v>
      </c>
      <c r="C273" s="10" t="s">
        <v>487</v>
      </c>
      <c r="D273" s="10" t="s">
        <v>286</v>
      </c>
      <c r="E273" s="10" t="s">
        <v>488</v>
      </c>
      <c r="F273" s="10"/>
      <c r="G273" s="11" t="s">
        <v>489</v>
      </c>
      <c r="H273" s="10" t="s">
        <v>422</v>
      </c>
      <c r="I273" s="10"/>
      <c r="J273" s="12">
        <v>1170.8991441267119</v>
      </c>
      <c r="K273" s="13">
        <f t="shared" si="4"/>
        <v>0</v>
      </c>
    </row>
    <row r="274" spans="2:11" x14ac:dyDescent="0.3">
      <c r="B274" s="10">
        <v>264</v>
      </c>
      <c r="C274" s="10" t="s">
        <v>487</v>
      </c>
      <c r="D274" s="10" t="s">
        <v>286</v>
      </c>
      <c r="E274" s="10" t="s">
        <v>488</v>
      </c>
      <c r="F274" s="10"/>
      <c r="G274" s="11" t="s">
        <v>490</v>
      </c>
      <c r="H274" s="10" t="s">
        <v>422</v>
      </c>
      <c r="I274" s="10"/>
      <c r="J274" s="12">
        <v>1405.0789729520559</v>
      </c>
      <c r="K274" s="13">
        <f t="shared" si="4"/>
        <v>0</v>
      </c>
    </row>
    <row r="275" spans="2:11" x14ac:dyDescent="0.3">
      <c r="B275" s="10">
        <v>265</v>
      </c>
      <c r="C275" s="10" t="s">
        <v>487</v>
      </c>
      <c r="D275" s="10" t="s">
        <v>286</v>
      </c>
      <c r="E275" s="10" t="s">
        <v>488</v>
      </c>
      <c r="F275" s="10"/>
      <c r="G275" s="11" t="s">
        <v>491</v>
      </c>
      <c r="H275" s="10" t="s">
        <v>422</v>
      </c>
      <c r="I275" s="10"/>
      <c r="J275" s="12">
        <v>1327.0190300102802</v>
      </c>
      <c r="K275" s="13">
        <f t="shared" si="4"/>
        <v>0</v>
      </c>
    </row>
    <row r="276" spans="2:11" x14ac:dyDescent="0.3">
      <c r="B276" s="10">
        <v>266</v>
      </c>
      <c r="C276" s="10" t="s">
        <v>487</v>
      </c>
      <c r="D276" s="10" t="s">
        <v>286</v>
      </c>
      <c r="E276" s="10" t="s">
        <v>488</v>
      </c>
      <c r="F276" s="10"/>
      <c r="G276" s="11" t="s">
        <v>492</v>
      </c>
      <c r="H276" s="10" t="s">
        <v>422</v>
      </c>
      <c r="I276" s="10"/>
      <c r="J276" s="12">
        <v>1014.7792582431521</v>
      </c>
      <c r="K276" s="13">
        <f t="shared" si="4"/>
        <v>0</v>
      </c>
    </row>
    <row r="277" spans="2:11" x14ac:dyDescent="0.3">
      <c r="B277" s="10">
        <v>267</v>
      </c>
      <c r="C277" s="10" t="s">
        <v>487</v>
      </c>
      <c r="D277" s="10" t="s">
        <v>286</v>
      </c>
      <c r="E277" s="10" t="s">
        <v>488</v>
      </c>
      <c r="F277" s="10"/>
      <c r="G277" s="11" t="s">
        <v>493</v>
      </c>
      <c r="H277" s="10" t="s">
        <v>422</v>
      </c>
      <c r="I277" s="10"/>
      <c r="J277" s="12">
        <v>1170.8991441267119</v>
      </c>
      <c r="K277" s="13">
        <f t="shared" si="4"/>
        <v>0</v>
      </c>
    </row>
    <row r="278" spans="2:11" x14ac:dyDescent="0.3">
      <c r="B278" s="10">
        <v>268</v>
      </c>
      <c r="C278" s="10" t="s">
        <v>487</v>
      </c>
      <c r="D278" s="10" t="s">
        <v>286</v>
      </c>
      <c r="E278" s="10" t="s">
        <v>488</v>
      </c>
      <c r="F278" s="10"/>
      <c r="G278" s="11" t="s">
        <v>494</v>
      </c>
      <c r="H278" s="10" t="s">
        <v>297</v>
      </c>
      <c r="I278" s="10"/>
      <c r="J278" s="12">
        <v>4683.596576506864</v>
      </c>
      <c r="K278" s="13">
        <f t="shared" si="4"/>
        <v>0</v>
      </c>
    </row>
    <row r="279" spans="2:11" x14ac:dyDescent="0.3">
      <c r="B279" s="10">
        <v>269</v>
      </c>
      <c r="C279" s="10" t="s">
        <v>487</v>
      </c>
      <c r="D279" s="10" t="s">
        <v>286</v>
      </c>
      <c r="E279" s="10" t="s">
        <v>488</v>
      </c>
      <c r="F279" s="10"/>
      <c r="G279" s="11" t="s">
        <v>495</v>
      </c>
      <c r="H279" s="10" t="s">
        <v>297</v>
      </c>
      <c r="I279" s="10"/>
      <c r="J279" s="12">
        <v>27320.980029623359</v>
      </c>
      <c r="K279" s="13">
        <f t="shared" si="4"/>
        <v>0</v>
      </c>
    </row>
    <row r="280" spans="2:11" x14ac:dyDescent="0.3">
      <c r="B280" s="10">
        <v>270</v>
      </c>
      <c r="C280" s="10" t="s">
        <v>487</v>
      </c>
      <c r="D280" s="10" t="s">
        <v>24</v>
      </c>
      <c r="E280" s="10" t="s">
        <v>488</v>
      </c>
      <c r="F280" s="10"/>
      <c r="G280" s="11" t="s">
        <v>496</v>
      </c>
      <c r="H280" s="10" t="s">
        <v>289</v>
      </c>
      <c r="I280" s="10"/>
      <c r="J280" s="12">
        <v>9367.193153013759</v>
      </c>
      <c r="K280" s="13">
        <f t="shared" si="4"/>
        <v>0</v>
      </c>
    </row>
    <row r="281" spans="2:11" x14ac:dyDescent="0.3">
      <c r="B281" s="10">
        <v>271</v>
      </c>
      <c r="C281" s="10" t="s">
        <v>497</v>
      </c>
      <c r="D281" s="10" t="s">
        <v>24</v>
      </c>
      <c r="E281" s="10" t="s">
        <v>287</v>
      </c>
      <c r="F281" s="10"/>
      <c r="G281" s="11" t="s">
        <v>498</v>
      </c>
      <c r="H281" s="10" t="s">
        <v>289</v>
      </c>
      <c r="I281" s="10"/>
      <c r="J281" s="12">
        <v>145000</v>
      </c>
      <c r="K281" s="13">
        <f t="shared" si="4"/>
        <v>0</v>
      </c>
    </row>
    <row r="282" spans="2:11" x14ac:dyDescent="0.3">
      <c r="B282" s="10">
        <v>272</v>
      </c>
      <c r="C282" s="10" t="s">
        <v>497</v>
      </c>
      <c r="D282" s="10" t="s">
        <v>286</v>
      </c>
      <c r="E282" s="10" t="s">
        <v>287</v>
      </c>
      <c r="F282" s="10"/>
      <c r="G282" s="11" t="s">
        <v>499</v>
      </c>
      <c r="H282" s="10" t="s">
        <v>289</v>
      </c>
      <c r="I282" s="10"/>
      <c r="J282" s="12">
        <v>450000</v>
      </c>
      <c r="K282" s="13">
        <f t="shared" si="4"/>
        <v>0</v>
      </c>
    </row>
    <row r="283" spans="2:11" x14ac:dyDescent="0.3">
      <c r="B283" s="10">
        <v>273</v>
      </c>
      <c r="C283" s="10" t="s">
        <v>497</v>
      </c>
      <c r="D283" s="10" t="s">
        <v>286</v>
      </c>
      <c r="E283" s="10" t="s">
        <v>287</v>
      </c>
      <c r="F283" s="10"/>
      <c r="G283" s="11" t="s">
        <v>500</v>
      </c>
      <c r="H283" s="10" t="s">
        <v>297</v>
      </c>
      <c r="I283" s="10"/>
      <c r="J283" s="12">
        <v>350000</v>
      </c>
      <c r="K283" s="13">
        <f t="shared" si="4"/>
        <v>0</v>
      </c>
    </row>
    <row r="284" spans="2:11" x14ac:dyDescent="0.3">
      <c r="B284" s="10">
        <v>274</v>
      </c>
      <c r="C284" s="10" t="s">
        <v>497</v>
      </c>
      <c r="D284" s="10" t="s">
        <v>24</v>
      </c>
      <c r="E284" s="10" t="s">
        <v>287</v>
      </c>
      <c r="F284" s="10"/>
      <c r="G284" s="11" t="s">
        <v>501</v>
      </c>
      <c r="H284" s="10" t="s">
        <v>289</v>
      </c>
      <c r="I284" s="10"/>
      <c r="J284" s="12">
        <v>850000</v>
      </c>
      <c r="K284" s="13">
        <f t="shared" si="4"/>
        <v>0</v>
      </c>
    </row>
    <row r="285" spans="2:11" x14ac:dyDescent="0.3">
      <c r="B285" s="10">
        <v>275</v>
      </c>
      <c r="C285" s="10" t="s">
        <v>497</v>
      </c>
      <c r="D285" s="10" t="s">
        <v>24</v>
      </c>
      <c r="E285" s="10" t="s">
        <v>287</v>
      </c>
      <c r="F285" s="10"/>
      <c r="G285" s="11" t="s">
        <v>502</v>
      </c>
      <c r="H285" s="10" t="s">
        <v>289</v>
      </c>
      <c r="I285" s="10"/>
      <c r="J285" s="12">
        <v>2192000</v>
      </c>
      <c r="K285" s="13">
        <f t="shared" si="4"/>
        <v>0</v>
      </c>
    </row>
    <row r="286" spans="2:11" x14ac:dyDescent="0.3">
      <c r="B286" s="10">
        <v>276</v>
      </c>
      <c r="C286" s="10" t="s">
        <v>497</v>
      </c>
      <c r="D286" s="10" t="s">
        <v>286</v>
      </c>
      <c r="E286" s="10" t="s">
        <v>287</v>
      </c>
      <c r="F286" s="10"/>
      <c r="G286" s="11" t="s">
        <v>503</v>
      </c>
      <c r="H286" s="10" t="s">
        <v>297</v>
      </c>
      <c r="I286" s="10"/>
      <c r="J286" s="12">
        <v>2363000</v>
      </c>
      <c r="K286" s="13">
        <f t="shared" si="4"/>
        <v>0</v>
      </c>
    </row>
    <row r="287" spans="2:11" x14ac:dyDescent="0.3">
      <c r="B287" s="10">
        <v>277</v>
      </c>
      <c r="C287" s="10" t="s">
        <v>497</v>
      </c>
      <c r="D287" s="10" t="s">
        <v>286</v>
      </c>
      <c r="E287" s="10" t="s">
        <v>287</v>
      </c>
      <c r="F287" s="10"/>
      <c r="G287" s="11" t="s">
        <v>504</v>
      </c>
      <c r="H287" s="10" t="s">
        <v>297</v>
      </c>
      <c r="I287" s="10"/>
      <c r="J287" s="12">
        <v>1980000</v>
      </c>
      <c r="K287" s="13">
        <f t="shared" si="4"/>
        <v>0</v>
      </c>
    </row>
    <row r="288" spans="2:11" x14ac:dyDescent="0.3">
      <c r="B288" s="10">
        <v>278</v>
      </c>
      <c r="C288" s="10" t="s">
        <v>497</v>
      </c>
      <c r="D288" s="10" t="s">
        <v>24</v>
      </c>
      <c r="E288" s="10" t="s">
        <v>287</v>
      </c>
      <c r="F288" s="10"/>
      <c r="G288" s="11" t="s">
        <v>505</v>
      </c>
      <c r="H288" s="10" t="s">
        <v>289</v>
      </c>
      <c r="I288" s="10"/>
      <c r="J288" s="12">
        <v>650000</v>
      </c>
      <c r="K288" s="13">
        <f t="shared" si="4"/>
        <v>0</v>
      </c>
    </row>
    <row r="289" spans="2:11" x14ac:dyDescent="0.3">
      <c r="B289" s="10">
        <v>279</v>
      </c>
      <c r="C289" s="10" t="s">
        <v>497</v>
      </c>
      <c r="D289" s="10" t="s">
        <v>286</v>
      </c>
      <c r="E289" s="10" t="s">
        <v>287</v>
      </c>
      <c r="F289" s="10"/>
      <c r="G289" s="11" t="s">
        <v>506</v>
      </c>
      <c r="H289" s="10" t="s">
        <v>297</v>
      </c>
      <c r="I289" s="10"/>
      <c r="J289" s="12">
        <v>450000</v>
      </c>
      <c r="K289" s="13">
        <f t="shared" si="4"/>
        <v>0</v>
      </c>
    </row>
    <row r="290" spans="2:11" x14ac:dyDescent="0.3">
      <c r="B290" s="10">
        <v>280</v>
      </c>
      <c r="C290" s="10" t="s">
        <v>497</v>
      </c>
      <c r="D290" s="10" t="s">
        <v>286</v>
      </c>
      <c r="E290" s="10" t="s">
        <v>287</v>
      </c>
      <c r="F290" s="10"/>
      <c r="G290" s="11" t="s">
        <v>507</v>
      </c>
      <c r="H290" s="10" t="s">
        <v>297</v>
      </c>
      <c r="I290" s="10"/>
      <c r="J290" s="12">
        <v>13720</v>
      </c>
      <c r="K290" s="13">
        <f t="shared" si="4"/>
        <v>0</v>
      </c>
    </row>
    <row r="291" spans="2:11" x14ac:dyDescent="0.3">
      <c r="B291" s="10">
        <v>281</v>
      </c>
      <c r="C291" s="10" t="s">
        <v>497</v>
      </c>
      <c r="D291" s="10" t="s">
        <v>286</v>
      </c>
      <c r="E291" s="10" t="s">
        <v>287</v>
      </c>
      <c r="F291" s="10"/>
      <c r="G291" s="11" t="s">
        <v>508</v>
      </c>
      <c r="H291" s="10" t="s">
        <v>297</v>
      </c>
      <c r="I291" s="10"/>
      <c r="J291" s="12">
        <v>850000</v>
      </c>
      <c r="K291" s="13">
        <f t="shared" si="4"/>
        <v>0</v>
      </c>
    </row>
    <row r="292" spans="2:11" x14ac:dyDescent="0.3">
      <c r="B292" s="10">
        <v>282</v>
      </c>
      <c r="C292" s="10" t="s">
        <v>497</v>
      </c>
      <c r="D292" s="10" t="s">
        <v>286</v>
      </c>
      <c r="E292" s="10" t="s">
        <v>287</v>
      </c>
      <c r="F292" s="10"/>
      <c r="G292" s="11" t="s">
        <v>509</v>
      </c>
      <c r="H292" s="10" t="s">
        <v>297</v>
      </c>
      <c r="I292" s="10"/>
      <c r="J292" s="12">
        <v>1350000</v>
      </c>
      <c r="K292" s="13">
        <f t="shared" si="4"/>
        <v>0</v>
      </c>
    </row>
    <row r="293" spans="2:11" x14ac:dyDescent="0.3">
      <c r="B293" s="10">
        <v>283</v>
      </c>
      <c r="C293" s="10" t="s">
        <v>497</v>
      </c>
      <c r="D293" s="10" t="s">
        <v>286</v>
      </c>
      <c r="E293" s="10" t="s">
        <v>287</v>
      </c>
      <c r="F293" s="10"/>
      <c r="G293" s="11" t="s">
        <v>510</v>
      </c>
      <c r="H293" s="10" t="s">
        <v>297</v>
      </c>
      <c r="I293" s="10"/>
      <c r="J293" s="12">
        <v>343000</v>
      </c>
      <c r="K293" s="13">
        <f t="shared" si="4"/>
        <v>0</v>
      </c>
    </row>
    <row r="294" spans="2:11" x14ac:dyDescent="0.3">
      <c r="B294" s="10">
        <v>284</v>
      </c>
      <c r="C294" s="10" t="s">
        <v>497</v>
      </c>
      <c r="D294" s="10" t="s">
        <v>286</v>
      </c>
      <c r="E294" s="10" t="s">
        <v>287</v>
      </c>
      <c r="F294" s="10"/>
      <c r="G294" s="11" t="s">
        <v>511</v>
      </c>
      <c r="H294" s="10" t="s">
        <v>297</v>
      </c>
      <c r="I294" s="10"/>
      <c r="J294" s="12">
        <v>312703</v>
      </c>
      <c r="K294" s="13">
        <f t="shared" si="4"/>
        <v>0</v>
      </c>
    </row>
    <row r="295" spans="2:11" x14ac:dyDescent="0.3">
      <c r="B295" s="10">
        <v>285</v>
      </c>
      <c r="C295" s="10" t="s">
        <v>497</v>
      </c>
      <c r="D295" s="10" t="s">
        <v>286</v>
      </c>
      <c r="E295" s="10" t="s">
        <v>287</v>
      </c>
      <c r="F295" s="10"/>
      <c r="G295" s="11" t="s">
        <v>512</v>
      </c>
      <c r="H295" s="10" t="s">
        <v>297</v>
      </c>
      <c r="I295" s="10"/>
      <c r="J295" s="12">
        <v>265000</v>
      </c>
      <c r="K295" s="13">
        <f t="shared" si="4"/>
        <v>0</v>
      </c>
    </row>
    <row r="296" spans="2:11" x14ac:dyDescent="0.3">
      <c r="B296" s="10">
        <v>286</v>
      </c>
      <c r="C296" s="10" t="s">
        <v>497</v>
      </c>
      <c r="D296" s="10" t="s">
        <v>286</v>
      </c>
      <c r="E296" s="10" t="s">
        <v>287</v>
      </c>
      <c r="F296" s="10"/>
      <c r="G296" s="11" t="s">
        <v>513</v>
      </c>
      <c r="H296" s="10" t="s">
        <v>297</v>
      </c>
      <c r="I296" s="10"/>
      <c r="J296" s="12">
        <v>240630</v>
      </c>
      <c r="K296" s="13">
        <f t="shared" si="4"/>
        <v>0</v>
      </c>
    </row>
    <row r="297" spans="2:11" x14ac:dyDescent="0.3">
      <c r="B297" s="10">
        <v>287</v>
      </c>
      <c r="C297" s="10" t="s">
        <v>497</v>
      </c>
      <c r="D297" s="10" t="s">
        <v>286</v>
      </c>
      <c r="E297" s="10" t="s">
        <v>287</v>
      </c>
      <c r="F297" s="10"/>
      <c r="G297" s="11" t="s">
        <v>514</v>
      </c>
      <c r="H297" s="10" t="s">
        <v>297</v>
      </c>
      <c r="I297" s="10"/>
      <c r="J297" s="12">
        <v>316720.00000000006</v>
      </c>
      <c r="K297" s="13">
        <f t="shared" si="4"/>
        <v>0</v>
      </c>
    </row>
    <row r="298" spans="2:11" x14ac:dyDescent="0.3">
      <c r="B298" s="10">
        <v>288</v>
      </c>
      <c r="C298" s="10" t="s">
        <v>515</v>
      </c>
      <c r="D298" s="10" t="s">
        <v>286</v>
      </c>
      <c r="E298" s="10" t="s">
        <v>488</v>
      </c>
      <c r="F298" s="10"/>
      <c r="G298" s="11" t="s">
        <v>516</v>
      </c>
      <c r="H298" s="10" t="s">
        <v>297</v>
      </c>
      <c r="I298" s="10"/>
      <c r="J298" s="12">
        <v>15600</v>
      </c>
      <c r="K298" s="13">
        <f t="shared" si="4"/>
        <v>0</v>
      </c>
    </row>
    <row r="299" spans="2:11" x14ac:dyDescent="0.3">
      <c r="B299" s="10">
        <v>289</v>
      </c>
      <c r="C299" s="10" t="s">
        <v>515</v>
      </c>
      <c r="D299" s="10" t="s">
        <v>286</v>
      </c>
      <c r="E299" s="10" t="s">
        <v>488</v>
      </c>
      <c r="F299" s="10"/>
      <c r="G299" s="11" t="s">
        <v>517</v>
      </c>
      <c r="H299" s="10" t="s">
        <v>297</v>
      </c>
      <c r="I299" s="10"/>
      <c r="J299" s="12">
        <v>15600</v>
      </c>
      <c r="K299" s="13">
        <f t="shared" si="4"/>
        <v>0</v>
      </c>
    </row>
    <row r="300" spans="2:11" x14ac:dyDescent="0.3">
      <c r="B300" s="10">
        <v>290</v>
      </c>
      <c r="C300" s="10" t="s">
        <v>515</v>
      </c>
      <c r="D300" s="10" t="s">
        <v>286</v>
      </c>
      <c r="E300" s="10" t="s">
        <v>488</v>
      </c>
      <c r="F300" s="10"/>
      <c r="G300" s="11" t="s">
        <v>518</v>
      </c>
      <c r="H300" s="10" t="s">
        <v>297</v>
      </c>
      <c r="I300" s="10"/>
      <c r="J300" s="12">
        <v>65000</v>
      </c>
      <c r="K300" s="13">
        <f t="shared" si="4"/>
        <v>0</v>
      </c>
    </row>
    <row r="301" spans="2:11" x14ac:dyDescent="0.3">
      <c r="B301" s="10">
        <v>291</v>
      </c>
      <c r="C301" s="10" t="s">
        <v>515</v>
      </c>
      <c r="D301" s="10" t="s">
        <v>286</v>
      </c>
      <c r="E301" s="10" t="s">
        <v>287</v>
      </c>
      <c r="F301" s="10"/>
      <c r="G301" s="11" t="s">
        <v>519</v>
      </c>
      <c r="H301" s="10" t="s">
        <v>297</v>
      </c>
      <c r="I301" s="10"/>
      <c r="J301" s="12">
        <v>1755676.923076923</v>
      </c>
      <c r="K301" s="13">
        <f t="shared" si="4"/>
        <v>0</v>
      </c>
    </row>
    <row r="302" spans="2:11" x14ac:dyDescent="0.3">
      <c r="B302" s="10">
        <v>292</v>
      </c>
      <c r="C302" s="10" t="s">
        <v>515</v>
      </c>
      <c r="D302" s="10" t="s">
        <v>286</v>
      </c>
      <c r="E302" s="10" t="s">
        <v>287</v>
      </c>
      <c r="F302" s="10"/>
      <c r="G302" s="11" t="s">
        <v>520</v>
      </c>
      <c r="H302" s="10" t="s">
        <v>297</v>
      </c>
      <c r="I302" s="10"/>
      <c r="J302" s="12">
        <v>25833.333333333336</v>
      </c>
      <c r="K302" s="13">
        <f t="shared" si="4"/>
        <v>0</v>
      </c>
    </row>
    <row r="303" spans="2:11" x14ac:dyDescent="0.3">
      <c r="B303" s="10">
        <v>293</v>
      </c>
      <c r="C303" s="10" t="s">
        <v>515</v>
      </c>
      <c r="D303" s="10" t="s">
        <v>286</v>
      </c>
      <c r="E303" s="10" t="s">
        <v>287</v>
      </c>
      <c r="F303" s="10"/>
      <c r="G303" s="11" t="s">
        <v>521</v>
      </c>
      <c r="H303" s="10" t="s">
        <v>297</v>
      </c>
      <c r="I303" s="10"/>
      <c r="J303" s="12">
        <v>1616738.4615384615</v>
      </c>
      <c r="K303" s="13">
        <f t="shared" si="4"/>
        <v>0</v>
      </c>
    </row>
    <row r="304" spans="2:11" x14ac:dyDescent="0.3">
      <c r="B304" s="10">
        <v>294</v>
      </c>
      <c r="C304" s="10" t="s">
        <v>515</v>
      </c>
      <c r="D304" s="10" t="s">
        <v>286</v>
      </c>
      <c r="E304" s="10" t="s">
        <v>488</v>
      </c>
      <c r="F304" s="10"/>
      <c r="G304" s="11" t="s">
        <v>522</v>
      </c>
      <c r="H304" s="10" t="s">
        <v>297</v>
      </c>
      <c r="I304" s="10"/>
      <c r="J304" s="12">
        <v>2184000</v>
      </c>
      <c r="K304" s="13">
        <f t="shared" si="4"/>
        <v>0</v>
      </c>
    </row>
    <row r="305" spans="2:11" x14ac:dyDescent="0.3">
      <c r="B305" s="10">
        <v>295</v>
      </c>
      <c r="C305" s="10" t="s">
        <v>515</v>
      </c>
      <c r="D305" s="10" t="s">
        <v>286</v>
      </c>
      <c r="E305" s="10" t="s">
        <v>488</v>
      </c>
      <c r="F305" s="10"/>
      <c r="G305" s="11" t="s">
        <v>523</v>
      </c>
      <c r="H305" s="10" t="s">
        <v>297</v>
      </c>
      <c r="I305" s="10"/>
      <c r="J305" s="12">
        <v>3552800</v>
      </c>
      <c r="K305" s="13">
        <f t="shared" si="4"/>
        <v>0</v>
      </c>
    </row>
    <row r="306" spans="2:11" x14ac:dyDescent="0.3">
      <c r="B306" s="10">
        <v>296</v>
      </c>
      <c r="C306" s="10" t="s">
        <v>515</v>
      </c>
      <c r="D306" s="10" t="s">
        <v>286</v>
      </c>
      <c r="E306" s="10" t="s">
        <v>287</v>
      </c>
      <c r="F306" s="10"/>
      <c r="G306" s="11" t="s">
        <v>524</v>
      </c>
      <c r="H306" s="10" t="s">
        <v>297</v>
      </c>
      <c r="I306" s="10"/>
      <c r="J306" s="12">
        <v>69785</v>
      </c>
      <c r="K306" s="13">
        <f t="shared" si="4"/>
        <v>0</v>
      </c>
    </row>
    <row r="307" spans="2:11" x14ac:dyDescent="0.3">
      <c r="B307" s="10">
        <v>297</v>
      </c>
      <c r="C307" s="10" t="s">
        <v>515</v>
      </c>
      <c r="D307" s="10" t="s">
        <v>286</v>
      </c>
      <c r="E307" s="10" t="s">
        <v>488</v>
      </c>
      <c r="F307" s="10"/>
      <c r="G307" s="11" t="s">
        <v>525</v>
      </c>
      <c r="H307" s="10" t="s">
        <v>297</v>
      </c>
      <c r="I307" s="10"/>
      <c r="J307" s="12">
        <v>9600</v>
      </c>
      <c r="K307" s="13">
        <f t="shared" si="4"/>
        <v>0</v>
      </c>
    </row>
    <row r="308" spans="2:11" x14ac:dyDescent="0.3">
      <c r="B308" s="10">
        <v>298</v>
      </c>
      <c r="C308" s="10" t="s">
        <v>515</v>
      </c>
      <c r="D308" s="10" t="s">
        <v>24</v>
      </c>
      <c r="E308" s="10" t="s">
        <v>488</v>
      </c>
      <c r="F308" s="10"/>
      <c r="G308" s="11" t="s">
        <v>526</v>
      </c>
      <c r="H308" s="10" t="s">
        <v>297</v>
      </c>
      <c r="I308" s="10"/>
      <c r="J308" s="12">
        <v>1000000</v>
      </c>
      <c r="K308" s="13">
        <f t="shared" si="4"/>
        <v>0</v>
      </c>
    </row>
    <row r="309" spans="2:11" x14ac:dyDescent="0.3">
      <c r="B309" s="10">
        <v>299</v>
      </c>
      <c r="C309" s="10" t="s">
        <v>515</v>
      </c>
      <c r="D309" s="10" t="s">
        <v>286</v>
      </c>
      <c r="E309" s="10" t="s">
        <v>287</v>
      </c>
      <c r="F309" s="10"/>
      <c r="G309" s="11" t="s">
        <v>527</v>
      </c>
      <c r="H309" s="10" t="s">
        <v>297</v>
      </c>
      <c r="I309" s="10"/>
      <c r="J309" s="12">
        <v>38313.333333333336</v>
      </c>
      <c r="K309" s="13">
        <f t="shared" si="4"/>
        <v>0</v>
      </c>
    </row>
    <row r="310" spans="2:11" x14ac:dyDescent="0.3">
      <c r="B310" s="10">
        <v>300</v>
      </c>
      <c r="C310" s="10" t="s">
        <v>515</v>
      </c>
      <c r="D310" s="10" t="s">
        <v>286</v>
      </c>
      <c r="E310" s="10" t="s">
        <v>287</v>
      </c>
      <c r="F310" s="10"/>
      <c r="G310" s="11" t="s">
        <v>528</v>
      </c>
      <c r="H310" s="10" t="s">
        <v>297</v>
      </c>
      <c r="I310" s="10"/>
      <c r="J310" s="12">
        <v>58154.166666666672</v>
      </c>
      <c r="K310" s="13">
        <f t="shared" si="4"/>
        <v>0</v>
      </c>
    </row>
    <row r="311" spans="2:11" x14ac:dyDescent="0.3">
      <c r="B311" s="10">
        <v>301</v>
      </c>
      <c r="C311" s="10" t="s">
        <v>515</v>
      </c>
      <c r="D311" s="10" t="s">
        <v>286</v>
      </c>
      <c r="E311" s="10" t="s">
        <v>287</v>
      </c>
      <c r="F311" s="10"/>
      <c r="G311" s="11" t="s">
        <v>529</v>
      </c>
      <c r="H311" s="10" t="s">
        <v>297</v>
      </c>
      <c r="I311" s="10"/>
      <c r="J311" s="12">
        <v>191566.66666666669</v>
      </c>
      <c r="K311" s="13">
        <f t="shared" si="4"/>
        <v>0</v>
      </c>
    </row>
    <row r="312" spans="2:11" x14ac:dyDescent="0.3">
      <c r="B312" s="10">
        <v>302</v>
      </c>
      <c r="C312" s="10" t="s">
        <v>515</v>
      </c>
      <c r="D312" s="10" t="s">
        <v>286</v>
      </c>
      <c r="E312" s="10" t="s">
        <v>287</v>
      </c>
      <c r="F312" s="10"/>
      <c r="G312" s="11" t="s">
        <v>530</v>
      </c>
      <c r="H312" s="10" t="s">
        <v>297</v>
      </c>
      <c r="I312" s="10"/>
      <c r="J312" s="12">
        <v>1616738.4615384615</v>
      </c>
      <c r="K312" s="13">
        <f t="shared" si="4"/>
        <v>0</v>
      </c>
    </row>
    <row r="313" spans="2:11" x14ac:dyDescent="0.3">
      <c r="B313" s="10">
        <v>303</v>
      </c>
      <c r="C313" s="10" t="s">
        <v>515</v>
      </c>
      <c r="D313" s="10" t="s">
        <v>286</v>
      </c>
      <c r="E313" s="10" t="s">
        <v>287</v>
      </c>
      <c r="F313" s="10"/>
      <c r="G313" s="11" t="s">
        <v>531</v>
      </c>
      <c r="H313" s="10" t="s">
        <v>297</v>
      </c>
      <c r="I313" s="10"/>
      <c r="J313" s="12">
        <v>51996.666666666672</v>
      </c>
      <c r="K313" s="13">
        <f t="shared" si="4"/>
        <v>0</v>
      </c>
    </row>
    <row r="314" spans="2:11" x14ac:dyDescent="0.3">
      <c r="B314" s="10">
        <v>304</v>
      </c>
      <c r="C314" s="10" t="s">
        <v>515</v>
      </c>
      <c r="D314" s="10" t="s">
        <v>286</v>
      </c>
      <c r="E314" s="10" t="s">
        <v>287</v>
      </c>
      <c r="F314" s="10"/>
      <c r="G314" s="11" t="s">
        <v>532</v>
      </c>
      <c r="H314" s="10" t="s">
        <v>297</v>
      </c>
      <c r="I314" s="10"/>
      <c r="J314" s="12">
        <v>14093.833333333336</v>
      </c>
      <c r="K314" s="13">
        <f t="shared" si="4"/>
        <v>0</v>
      </c>
    </row>
    <row r="315" spans="2:11" x14ac:dyDescent="0.3">
      <c r="B315" s="10">
        <v>305</v>
      </c>
      <c r="C315" s="10" t="s">
        <v>515</v>
      </c>
      <c r="D315" s="10" t="s">
        <v>286</v>
      </c>
      <c r="E315" s="10" t="s">
        <v>287</v>
      </c>
      <c r="F315" s="10"/>
      <c r="G315" s="11" t="s">
        <v>533</v>
      </c>
      <c r="H315" s="10" t="s">
        <v>297</v>
      </c>
      <c r="I315" s="10"/>
      <c r="J315" s="12">
        <v>69785</v>
      </c>
      <c r="K315" s="13">
        <f t="shared" si="4"/>
        <v>0</v>
      </c>
    </row>
    <row r="316" spans="2:11" x14ac:dyDescent="0.3">
      <c r="B316" s="10">
        <v>306</v>
      </c>
      <c r="C316" s="10" t="s">
        <v>515</v>
      </c>
      <c r="D316" s="10" t="s">
        <v>286</v>
      </c>
      <c r="E316" s="10" t="s">
        <v>287</v>
      </c>
      <c r="F316" s="10"/>
      <c r="G316" s="11" t="s">
        <v>534</v>
      </c>
      <c r="H316" s="10" t="s">
        <v>297</v>
      </c>
      <c r="I316" s="10"/>
      <c r="J316" s="12">
        <v>46181.25</v>
      </c>
      <c r="K316" s="13">
        <f t="shared" si="4"/>
        <v>0</v>
      </c>
    </row>
    <row r="317" spans="2:11" x14ac:dyDescent="0.3">
      <c r="B317" s="10">
        <v>307</v>
      </c>
      <c r="C317" s="10" t="s">
        <v>515</v>
      </c>
      <c r="D317" s="10" t="s">
        <v>286</v>
      </c>
      <c r="E317" s="10" t="s">
        <v>287</v>
      </c>
      <c r="F317" s="10"/>
      <c r="G317" s="11" t="s">
        <v>535</v>
      </c>
      <c r="H317" s="10" t="s">
        <v>297</v>
      </c>
      <c r="I317" s="10"/>
      <c r="J317" s="12">
        <v>146411.66666666669</v>
      </c>
      <c r="K317" s="13">
        <f t="shared" si="4"/>
        <v>0</v>
      </c>
    </row>
    <row r="318" spans="2:11" x14ac:dyDescent="0.3">
      <c r="B318" s="10">
        <v>308</v>
      </c>
      <c r="C318" s="10" t="s">
        <v>515</v>
      </c>
      <c r="D318" s="10" t="s">
        <v>286</v>
      </c>
      <c r="E318" s="10" t="s">
        <v>287</v>
      </c>
      <c r="F318" s="10"/>
      <c r="G318" s="11" t="s">
        <v>536</v>
      </c>
      <c r="H318" s="10" t="s">
        <v>297</v>
      </c>
      <c r="I318" s="10"/>
      <c r="J318" s="12">
        <v>38313.333333333336</v>
      </c>
      <c r="K318" s="13">
        <f t="shared" si="4"/>
        <v>0</v>
      </c>
    </row>
    <row r="319" spans="2:11" x14ac:dyDescent="0.3">
      <c r="B319" s="10">
        <v>309</v>
      </c>
      <c r="C319" s="10" t="s">
        <v>515</v>
      </c>
      <c r="D319" s="10" t="s">
        <v>286</v>
      </c>
      <c r="E319" s="10" t="s">
        <v>287</v>
      </c>
      <c r="F319" s="10"/>
      <c r="G319" s="11" t="s">
        <v>537</v>
      </c>
      <c r="H319" s="10" t="s">
        <v>297</v>
      </c>
      <c r="I319" s="10"/>
      <c r="J319" s="12">
        <v>58154.166666666672</v>
      </c>
      <c r="K319" s="13">
        <f t="shared" si="4"/>
        <v>0</v>
      </c>
    </row>
    <row r="320" spans="2:11" x14ac:dyDescent="0.3">
      <c r="B320" s="10">
        <v>310</v>
      </c>
      <c r="C320" s="10" t="s">
        <v>515</v>
      </c>
      <c r="D320" s="10" t="s">
        <v>286</v>
      </c>
      <c r="E320" s="10" t="s">
        <v>287</v>
      </c>
      <c r="F320" s="10"/>
      <c r="G320" s="11" t="s">
        <v>538</v>
      </c>
      <c r="H320" s="10" t="s">
        <v>0</v>
      </c>
      <c r="I320" s="10"/>
      <c r="J320" s="12">
        <v>191566.66666666669</v>
      </c>
      <c r="K320" s="13">
        <f t="shared" si="4"/>
        <v>0</v>
      </c>
    </row>
    <row r="321" spans="2:11" x14ac:dyDescent="0.3">
      <c r="B321" s="10">
        <v>311</v>
      </c>
      <c r="C321" s="10" t="s">
        <v>515</v>
      </c>
      <c r="D321" s="10" t="s">
        <v>286</v>
      </c>
      <c r="E321" s="10" t="s">
        <v>287</v>
      </c>
      <c r="F321" s="10"/>
      <c r="G321" s="11" t="s">
        <v>539</v>
      </c>
      <c r="H321" s="10" t="s">
        <v>297</v>
      </c>
      <c r="I321" s="10"/>
      <c r="J321" s="12">
        <v>110835</v>
      </c>
      <c r="K321" s="13">
        <f t="shared" si="4"/>
        <v>0</v>
      </c>
    </row>
    <row r="322" spans="2:11" x14ac:dyDescent="0.3">
      <c r="B322" s="10">
        <v>312</v>
      </c>
      <c r="C322" s="10" t="s">
        <v>515</v>
      </c>
      <c r="D322" s="10" t="s">
        <v>286</v>
      </c>
      <c r="E322" s="10" t="s">
        <v>488</v>
      </c>
      <c r="F322" s="10"/>
      <c r="G322" s="11" t="s">
        <v>540</v>
      </c>
      <c r="H322" s="10" t="s">
        <v>289</v>
      </c>
      <c r="I322" s="10"/>
      <c r="J322" s="12">
        <v>100000</v>
      </c>
      <c r="K322" s="13">
        <f t="shared" si="4"/>
        <v>0</v>
      </c>
    </row>
    <row r="323" spans="2:11" x14ac:dyDescent="0.3">
      <c r="B323" s="10">
        <v>313</v>
      </c>
      <c r="C323" s="10" t="s">
        <v>541</v>
      </c>
      <c r="D323" s="10" t="s">
        <v>286</v>
      </c>
      <c r="E323" s="10" t="s">
        <v>287</v>
      </c>
      <c r="F323" s="10"/>
      <c r="G323" s="11" t="s">
        <v>542</v>
      </c>
      <c r="H323" s="10" t="s">
        <v>289</v>
      </c>
      <c r="I323" s="10"/>
      <c r="J323" s="12">
        <v>805581.54999999993</v>
      </c>
      <c r="K323" s="13">
        <f t="shared" si="4"/>
        <v>0</v>
      </c>
    </row>
    <row r="324" spans="2:11" x14ac:dyDescent="0.3">
      <c r="B324" s="10">
        <v>314</v>
      </c>
      <c r="C324" s="10" t="s">
        <v>541</v>
      </c>
      <c r="D324" s="10" t="s">
        <v>286</v>
      </c>
      <c r="E324" s="10" t="s">
        <v>287</v>
      </c>
      <c r="F324" s="10"/>
      <c r="G324" s="11" t="s">
        <v>543</v>
      </c>
      <c r="H324" s="10" t="s">
        <v>289</v>
      </c>
      <c r="I324" s="10"/>
      <c r="J324" s="12">
        <v>1266149.8</v>
      </c>
      <c r="K324" s="13">
        <f t="shared" si="4"/>
        <v>0</v>
      </c>
    </row>
    <row r="325" spans="2:11" x14ac:dyDescent="0.3">
      <c r="B325" s="10">
        <v>315</v>
      </c>
      <c r="C325" s="10" t="s">
        <v>541</v>
      </c>
      <c r="D325" s="10" t="s">
        <v>286</v>
      </c>
      <c r="E325" s="10" t="s">
        <v>287</v>
      </c>
      <c r="F325" s="10"/>
      <c r="G325" s="11" t="s">
        <v>544</v>
      </c>
      <c r="H325" s="10" t="s">
        <v>297</v>
      </c>
      <c r="I325" s="10"/>
      <c r="J325" s="12">
        <v>890630</v>
      </c>
      <c r="K325" s="13">
        <f t="shared" si="4"/>
        <v>0</v>
      </c>
    </row>
    <row r="326" spans="2:11" x14ac:dyDescent="0.3">
      <c r="B326" s="10">
        <v>316</v>
      </c>
      <c r="C326" s="10" t="s">
        <v>541</v>
      </c>
      <c r="D326" s="10" t="s">
        <v>286</v>
      </c>
      <c r="E326" s="10" t="s">
        <v>287</v>
      </c>
      <c r="F326" s="10"/>
      <c r="G326" s="11" t="s">
        <v>545</v>
      </c>
      <c r="H326" s="10" t="s">
        <v>297</v>
      </c>
      <c r="I326" s="10"/>
      <c r="J326" s="12">
        <v>790000</v>
      </c>
      <c r="K326" s="13">
        <f t="shared" si="4"/>
        <v>0</v>
      </c>
    </row>
    <row r="327" spans="2:11" x14ac:dyDescent="0.3">
      <c r="B327" s="10">
        <v>317</v>
      </c>
      <c r="C327" s="10" t="s">
        <v>541</v>
      </c>
      <c r="D327" s="10" t="s">
        <v>286</v>
      </c>
      <c r="E327" s="10" t="s">
        <v>287</v>
      </c>
      <c r="F327" s="10"/>
      <c r="G327" s="11" t="s">
        <v>546</v>
      </c>
      <c r="H327" s="10" t="s">
        <v>297</v>
      </c>
      <c r="I327" s="10"/>
      <c r="J327" s="12">
        <v>626461.5384615385</v>
      </c>
      <c r="K327" s="13">
        <f t="shared" si="4"/>
        <v>0</v>
      </c>
    </row>
    <row r="328" spans="2:11" x14ac:dyDescent="0.3">
      <c r="B328" s="10">
        <v>318</v>
      </c>
      <c r="C328" s="10" t="s">
        <v>541</v>
      </c>
      <c r="D328" s="10" t="s">
        <v>286</v>
      </c>
      <c r="E328" s="10" t="s">
        <v>287</v>
      </c>
      <c r="F328" s="10"/>
      <c r="G328" s="11" t="s">
        <v>547</v>
      </c>
      <c r="H328" s="10" t="s">
        <v>297</v>
      </c>
      <c r="I328" s="10"/>
      <c r="J328" s="12">
        <v>308210</v>
      </c>
      <c r="K328" s="13">
        <f t="shared" si="4"/>
        <v>0</v>
      </c>
    </row>
    <row r="329" spans="2:11" x14ac:dyDescent="0.3">
      <c r="B329" s="10">
        <v>319</v>
      </c>
      <c r="C329" s="10" t="s">
        <v>541</v>
      </c>
      <c r="D329" s="10" t="s">
        <v>286</v>
      </c>
      <c r="E329" s="10" t="s">
        <v>287</v>
      </c>
      <c r="F329" s="10"/>
      <c r="G329" s="11" t="s">
        <v>548</v>
      </c>
      <c r="H329" s="10" t="s">
        <v>297</v>
      </c>
      <c r="I329" s="10"/>
      <c r="J329" s="12">
        <v>515296.15384615393</v>
      </c>
      <c r="K329" s="13">
        <f t="shared" si="4"/>
        <v>0</v>
      </c>
    </row>
    <row r="330" spans="2:11" x14ac:dyDescent="0.3">
      <c r="B330" s="10">
        <v>320</v>
      </c>
      <c r="C330" s="10" t="s">
        <v>541</v>
      </c>
      <c r="D330" s="10" t="s">
        <v>286</v>
      </c>
      <c r="E330" s="10" t="s">
        <v>287</v>
      </c>
      <c r="F330" s="10"/>
      <c r="G330" s="11" t="s">
        <v>549</v>
      </c>
      <c r="H330" s="10" t="s">
        <v>297</v>
      </c>
      <c r="I330" s="10"/>
      <c r="J330" s="12">
        <v>650289.23076923087</v>
      </c>
      <c r="K330" s="13">
        <f t="shared" si="4"/>
        <v>0</v>
      </c>
    </row>
    <row r="331" spans="2:11" x14ac:dyDescent="0.3">
      <c r="B331" s="10">
        <v>321</v>
      </c>
      <c r="C331" s="10" t="s">
        <v>541</v>
      </c>
      <c r="D331" s="10" t="s">
        <v>286</v>
      </c>
      <c r="E331" s="10" t="s">
        <v>287</v>
      </c>
      <c r="F331" s="10"/>
      <c r="G331" s="11" t="s">
        <v>550</v>
      </c>
      <c r="H331" s="10" t="s">
        <v>297</v>
      </c>
      <c r="I331" s="10"/>
      <c r="J331" s="12">
        <v>920000</v>
      </c>
      <c r="K331" s="13">
        <f t="shared" si="4"/>
        <v>0</v>
      </c>
    </row>
    <row r="332" spans="2:11" x14ac:dyDescent="0.3">
      <c r="B332" s="10">
        <v>322</v>
      </c>
      <c r="C332" s="10" t="s">
        <v>541</v>
      </c>
      <c r="D332" s="10" t="s">
        <v>286</v>
      </c>
      <c r="E332" s="10" t="s">
        <v>287</v>
      </c>
      <c r="F332" s="10"/>
      <c r="G332" s="11" t="s">
        <v>551</v>
      </c>
      <c r="H332" s="10" t="s">
        <v>297</v>
      </c>
      <c r="I332" s="10"/>
      <c r="J332" s="12">
        <v>797230</v>
      </c>
      <c r="K332" s="13">
        <f t="shared" si="4"/>
        <v>0</v>
      </c>
    </row>
    <row r="333" spans="2:11" x14ac:dyDescent="0.3">
      <c r="B333" s="10">
        <v>323</v>
      </c>
      <c r="C333" s="10" t="s">
        <v>541</v>
      </c>
      <c r="D333" s="10" t="s">
        <v>286</v>
      </c>
      <c r="E333" s="10" t="s">
        <v>287</v>
      </c>
      <c r="F333" s="10"/>
      <c r="G333" s="11" t="s">
        <v>552</v>
      </c>
      <c r="H333" s="10" t="s">
        <v>297</v>
      </c>
      <c r="I333" s="10"/>
      <c r="J333" s="12">
        <v>582647.5384615385</v>
      </c>
      <c r="K333" s="13">
        <f t="shared" si="4"/>
        <v>0</v>
      </c>
    </row>
    <row r="334" spans="2:11" x14ac:dyDescent="0.3">
      <c r="B334" s="10">
        <v>324</v>
      </c>
      <c r="C334" s="10" t="s">
        <v>541</v>
      </c>
      <c r="D334" s="10" t="s">
        <v>286</v>
      </c>
      <c r="E334" s="10" t="s">
        <v>287</v>
      </c>
      <c r="F334" s="10"/>
      <c r="G334" s="11" t="s">
        <v>553</v>
      </c>
      <c r="H334" s="10" t="s">
        <v>297</v>
      </c>
      <c r="I334" s="10"/>
      <c r="J334" s="12">
        <v>5479558</v>
      </c>
      <c r="K334" s="13">
        <f t="shared" si="4"/>
        <v>0</v>
      </c>
    </row>
    <row r="335" spans="2:11" x14ac:dyDescent="0.3">
      <c r="B335" s="10">
        <v>325</v>
      </c>
      <c r="C335" s="10" t="s">
        <v>541</v>
      </c>
      <c r="D335" s="10" t="s">
        <v>286</v>
      </c>
      <c r="E335" s="10" t="s">
        <v>287</v>
      </c>
      <c r="F335" s="10"/>
      <c r="G335" s="11" t="s">
        <v>554</v>
      </c>
      <c r="H335" s="10" t="s">
        <v>297</v>
      </c>
      <c r="I335" s="10"/>
      <c r="J335" s="12">
        <v>5697288</v>
      </c>
      <c r="K335" s="13">
        <f t="shared" si="4"/>
        <v>0</v>
      </c>
    </row>
    <row r="336" spans="2:11" x14ac:dyDescent="0.3">
      <c r="B336" s="10">
        <v>326</v>
      </c>
      <c r="C336" s="10" t="s">
        <v>541</v>
      </c>
      <c r="D336" s="10" t="s">
        <v>286</v>
      </c>
      <c r="E336" s="10" t="s">
        <v>287</v>
      </c>
      <c r="F336" s="10"/>
      <c r="G336" s="11" t="s">
        <v>555</v>
      </c>
      <c r="H336" s="10" t="s">
        <v>297</v>
      </c>
      <c r="I336" s="10"/>
      <c r="J336" s="12">
        <v>720000</v>
      </c>
      <c r="K336" s="13">
        <f t="shared" ref="K336:K354" si="5">J336*I336</f>
        <v>0</v>
      </c>
    </row>
    <row r="337" spans="2:11" x14ac:dyDescent="0.3">
      <c r="B337" s="10">
        <v>327</v>
      </c>
      <c r="C337" s="10" t="s">
        <v>556</v>
      </c>
      <c r="D337" s="10" t="s">
        <v>286</v>
      </c>
      <c r="E337" s="10" t="s">
        <v>287</v>
      </c>
      <c r="F337" s="10"/>
      <c r="G337" s="11" t="s">
        <v>557</v>
      </c>
      <c r="H337" s="10" t="s">
        <v>297</v>
      </c>
      <c r="I337" s="10"/>
      <c r="J337" s="12">
        <v>360000</v>
      </c>
      <c r="K337" s="13">
        <f t="shared" si="5"/>
        <v>0</v>
      </c>
    </row>
    <row r="338" spans="2:11" x14ac:dyDescent="0.3">
      <c r="B338" s="10">
        <v>328</v>
      </c>
      <c r="C338" s="10" t="s">
        <v>556</v>
      </c>
      <c r="D338" s="10" t="s">
        <v>286</v>
      </c>
      <c r="E338" s="10" t="s">
        <v>287</v>
      </c>
      <c r="F338" s="10"/>
      <c r="G338" s="11" t="s">
        <v>558</v>
      </c>
      <c r="H338" s="10" t="s">
        <v>297</v>
      </c>
      <c r="I338" s="10"/>
      <c r="J338" s="12">
        <v>754178.65</v>
      </c>
      <c r="K338" s="13">
        <f t="shared" si="5"/>
        <v>0</v>
      </c>
    </row>
    <row r="339" spans="2:11" x14ac:dyDescent="0.3">
      <c r="B339" s="10">
        <v>329</v>
      </c>
      <c r="C339" s="10" t="s">
        <v>556</v>
      </c>
      <c r="D339" s="10" t="s">
        <v>286</v>
      </c>
      <c r="E339" s="10" t="s">
        <v>287</v>
      </c>
      <c r="F339" s="10"/>
      <c r="G339" s="11" t="s">
        <v>559</v>
      </c>
      <c r="H339" s="10" t="s">
        <v>297</v>
      </c>
      <c r="I339" s="10"/>
      <c r="J339" s="12">
        <v>754178.65</v>
      </c>
      <c r="K339" s="13">
        <f t="shared" si="5"/>
        <v>0</v>
      </c>
    </row>
    <row r="340" spans="2:11" x14ac:dyDescent="0.3">
      <c r="B340" s="10">
        <v>330</v>
      </c>
      <c r="C340" s="10" t="s">
        <v>556</v>
      </c>
      <c r="D340" s="10" t="s">
        <v>286</v>
      </c>
      <c r="E340" s="10" t="s">
        <v>287</v>
      </c>
      <c r="F340" s="10"/>
      <c r="G340" s="11" t="s">
        <v>560</v>
      </c>
      <c r="H340" s="10" t="s">
        <v>297</v>
      </c>
      <c r="I340" s="10"/>
      <c r="J340" s="12">
        <v>690000</v>
      </c>
      <c r="K340" s="13">
        <f t="shared" si="5"/>
        <v>0</v>
      </c>
    </row>
    <row r="341" spans="2:11" x14ac:dyDescent="0.3">
      <c r="B341" s="10">
        <v>331</v>
      </c>
      <c r="C341" s="10" t="s">
        <v>556</v>
      </c>
      <c r="D341" s="10" t="s">
        <v>24</v>
      </c>
      <c r="E341" s="10" t="s">
        <v>287</v>
      </c>
      <c r="F341" s="10"/>
      <c r="G341" s="11" t="s">
        <v>561</v>
      </c>
      <c r="H341" s="10" t="s">
        <v>289</v>
      </c>
      <c r="I341" s="10"/>
      <c r="J341" s="12">
        <v>1250000</v>
      </c>
      <c r="K341" s="13">
        <f t="shared" si="5"/>
        <v>0</v>
      </c>
    </row>
    <row r="342" spans="2:11" x14ac:dyDescent="0.3">
      <c r="B342" s="10">
        <v>332</v>
      </c>
      <c r="C342" s="10" t="s">
        <v>556</v>
      </c>
      <c r="D342" s="10" t="s">
        <v>24</v>
      </c>
      <c r="E342" s="10" t="s">
        <v>287</v>
      </c>
      <c r="F342" s="10"/>
      <c r="G342" s="11" t="s">
        <v>562</v>
      </c>
      <c r="H342" s="10" t="s">
        <v>289</v>
      </c>
      <c r="I342" s="10"/>
      <c r="J342" s="12">
        <v>1250000</v>
      </c>
      <c r="K342" s="13">
        <f t="shared" si="5"/>
        <v>0</v>
      </c>
    </row>
    <row r="343" spans="2:11" x14ac:dyDescent="0.3">
      <c r="B343" s="10">
        <v>333</v>
      </c>
      <c r="C343" s="10" t="s">
        <v>556</v>
      </c>
      <c r="D343" s="10" t="s">
        <v>24</v>
      </c>
      <c r="E343" s="10" t="s">
        <v>287</v>
      </c>
      <c r="F343" s="10"/>
      <c r="G343" s="11" t="s">
        <v>563</v>
      </c>
      <c r="H343" s="10" t="s">
        <v>289</v>
      </c>
      <c r="I343" s="10"/>
      <c r="J343" s="12">
        <v>1980000</v>
      </c>
      <c r="K343" s="13">
        <f t="shared" si="5"/>
        <v>0</v>
      </c>
    </row>
    <row r="344" spans="2:11" x14ac:dyDescent="0.3">
      <c r="B344" s="10">
        <v>334</v>
      </c>
      <c r="C344" s="10" t="s">
        <v>556</v>
      </c>
      <c r="D344" s="10" t="s">
        <v>286</v>
      </c>
      <c r="E344" s="10" t="s">
        <v>287</v>
      </c>
      <c r="F344" s="10"/>
      <c r="G344" s="11" t="s">
        <v>564</v>
      </c>
      <c r="H344" s="10" t="s">
        <v>0</v>
      </c>
      <c r="I344" s="10"/>
      <c r="J344" s="12">
        <v>7980</v>
      </c>
      <c r="K344" s="13">
        <f t="shared" si="5"/>
        <v>0</v>
      </c>
    </row>
    <row r="345" spans="2:11" x14ac:dyDescent="0.3">
      <c r="B345" s="10">
        <v>335</v>
      </c>
      <c r="C345" s="10" t="s">
        <v>556</v>
      </c>
      <c r="D345" s="10" t="s">
        <v>286</v>
      </c>
      <c r="E345" s="10" t="s">
        <v>287</v>
      </c>
      <c r="F345" s="10"/>
      <c r="G345" s="11" t="s">
        <v>565</v>
      </c>
      <c r="H345" s="10" t="s">
        <v>0</v>
      </c>
      <c r="I345" s="10"/>
      <c r="J345" s="12">
        <v>31292</v>
      </c>
      <c r="K345" s="13">
        <f t="shared" si="5"/>
        <v>0</v>
      </c>
    </row>
    <row r="346" spans="2:11" x14ac:dyDescent="0.3">
      <c r="B346" s="10">
        <v>336</v>
      </c>
      <c r="C346" s="10" t="s">
        <v>556</v>
      </c>
      <c r="D346" s="10" t="s">
        <v>286</v>
      </c>
      <c r="E346" s="10" t="s">
        <v>287</v>
      </c>
      <c r="F346" s="10"/>
      <c r="G346" s="11" t="s">
        <v>566</v>
      </c>
      <c r="H346" s="10" t="s">
        <v>0</v>
      </c>
      <c r="I346" s="10"/>
      <c r="J346" s="12">
        <v>28620</v>
      </c>
      <c r="K346" s="13">
        <f t="shared" si="5"/>
        <v>0</v>
      </c>
    </row>
    <row r="347" spans="2:11" x14ac:dyDescent="0.3">
      <c r="B347" s="10">
        <v>337</v>
      </c>
      <c r="C347" s="10" t="s">
        <v>556</v>
      </c>
      <c r="D347" s="10" t="s">
        <v>286</v>
      </c>
      <c r="E347" s="10" t="s">
        <v>287</v>
      </c>
      <c r="F347" s="10"/>
      <c r="G347" s="11" t="s">
        <v>567</v>
      </c>
      <c r="H347" s="10" t="s">
        <v>0</v>
      </c>
      <c r="I347" s="10"/>
      <c r="J347" s="12">
        <v>24620</v>
      </c>
      <c r="K347" s="13">
        <f t="shared" si="5"/>
        <v>0</v>
      </c>
    </row>
    <row r="348" spans="2:11" x14ac:dyDescent="0.3">
      <c r="B348" s="10">
        <v>338</v>
      </c>
      <c r="C348" s="10" t="s">
        <v>556</v>
      </c>
      <c r="D348" s="10" t="s">
        <v>286</v>
      </c>
      <c r="E348" s="10" t="s">
        <v>287</v>
      </c>
      <c r="F348" s="10"/>
      <c r="G348" s="11" t="s">
        <v>568</v>
      </c>
      <c r="H348" s="10" t="s">
        <v>0</v>
      </c>
      <c r="I348" s="10"/>
      <c r="J348" s="12">
        <v>7137</v>
      </c>
      <c r="K348" s="13">
        <f t="shared" si="5"/>
        <v>0</v>
      </c>
    </row>
    <row r="349" spans="2:11" x14ac:dyDescent="0.3">
      <c r="B349" s="10">
        <v>339</v>
      </c>
      <c r="C349" s="10" t="s">
        <v>556</v>
      </c>
      <c r="D349" s="10" t="s">
        <v>286</v>
      </c>
      <c r="E349" s="10" t="s">
        <v>287</v>
      </c>
      <c r="F349" s="10"/>
      <c r="G349" s="11" t="s">
        <v>569</v>
      </c>
      <c r="H349" s="10" t="s">
        <v>0</v>
      </c>
      <c r="I349" s="10"/>
      <c r="J349" s="12">
        <v>1865</v>
      </c>
      <c r="K349" s="13">
        <f t="shared" si="5"/>
        <v>0</v>
      </c>
    </row>
    <row r="350" spans="2:11" x14ac:dyDescent="0.3">
      <c r="B350" s="10">
        <v>340</v>
      </c>
      <c r="C350" s="10" t="s">
        <v>556</v>
      </c>
      <c r="D350" s="10" t="s">
        <v>286</v>
      </c>
      <c r="E350" s="10" t="s">
        <v>287</v>
      </c>
      <c r="F350" s="10"/>
      <c r="G350" s="11" t="s">
        <v>570</v>
      </c>
      <c r="H350" s="10" t="s">
        <v>0</v>
      </c>
      <c r="I350" s="10"/>
      <c r="J350" s="12">
        <v>2980</v>
      </c>
      <c r="K350" s="13">
        <f t="shared" si="5"/>
        <v>0</v>
      </c>
    </row>
    <row r="351" spans="2:11" x14ac:dyDescent="0.3">
      <c r="B351" s="10">
        <v>341</v>
      </c>
      <c r="C351" s="10" t="s">
        <v>556</v>
      </c>
      <c r="D351" s="10" t="s">
        <v>286</v>
      </c>
      <c r="E351" s="10" t="s">
        <v>287</v>
      </c>
      <c r="F351" s="10"/>
      <c r="G351" s="11" t="s">
        <v>571</v>
      </c>
      <c r="H351" s="10" t="s">
        <v>0</v>
      </c>
      <c r="I351" s="10"/>
      <c r="J351" s="12">
        <v>3860</v>
      </c>
      <c r="K351" s="13">
        <f t="shared" si="5"/>
        <v>0</v>
      </c>
    </row>
    <row r="352" spans="2:11" x14ac:dyDescent="0.3">
      <c r="B352" s="10">
        <v>342</v>
      </c>
      <c r="C352" s="10" t="s">
        <v>556</v>
      </c>
      <c r="D352" s="10" t="s">
        <v>286</v>
      </c>
      <c r="E352" s="10" t="s">
        <v>287</v>
      </c>
      <c r="F352" s="10"/>
      <c r="G352" s="11" t="s">
        <v>572</v>
      </c>
      <c r="H352" s="10" t="s">
        <v>0</v>
      </c>
      <c r="I352" s="10"/>
      <c r="J352" s="12">
        <v>3560</v>
      </c>
      <c r="K352" s="13">
        <f t="shared" si="5"/>
        <v>0</v>
      </c>
    </row>
    <row r="353" spans="2:11" x14ac:dyDescent="0.3">
      <c r="B353" s="10">
        <v>343</v>
      </c>
      <c r="C353" s="10" t="s">
        <v>556</v>
      </c>
      <c r="D353" s="10" t="s">
        <v>286</v>
      </c>
      <c r="E353" s="10" t="s">
        <v>287</v>
      </c>
      <c r="F353" s="10"/>
      <c r="G353" s="11" t="s">
        <v>573</v>
      </c>
      <c r="H353" s="10" t="s">
        <v>0</v>
      </c>
      <c r="I353" s="10"/>
      <c r="J353" s="12">
        <v>3783</v>
      </c>
      <c r="K353" s="13">
        <f t="shared" si="5"/>
        <v>0</v>
      </c>
    </row>
    <row r="354" spans="2:11" x14ac:dyDescent="0.3">
      <c r="B354" s="10">
        <v>344</v>
      </c>
      <c r="C354" s="10" t="s">
        <v>556</v>
      </c>
      <c r="D354" s="10" t="s">
        <v>286</v>
      </c>
      <c r="E354" s="10" t="s">
        <v>287</v>
      </c>
      <c r="F354" s="10"/>
      <c r="G354" s="11" t="s">
        <v>574</v>
      </c>
      <c r="H354" s="10" t="s">
        <v>0</v>
      </c>
      <c r="I354" s="10"/>
      <c r="J354" s="12">
        <v>13563</v>
      </c>
      <c r="K354" s="13">
        <f t="shared" si="5"/>
        <v>0</v>
      </c>
    </row>
  </sheetData>
  <autoFilter ref="B10:K354" xr:uid="{00000000-0009-0000-0000-000004000000}"/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354d8a9-a753-4245-b6ba-9de427444295" xsi:nil="true"/>
    <lcf76f155ced4ddcb4097134ff3c332f xmlns="2d5afbee-505a-4c33-ae04-1a279237fa3d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AAF49289134B44DB112DFB4633916E5" ma:contentTypeVersion="14" ma:contentTypeDescription="Crear nuevo documento." ma:contentTypeScope="" ma:versionID="078b62be15cb96330b27ed7caa7f00f3">
  <xsd:schema xmlns:xsd="http://www.w3.org/2001/XMLSchema" xmlns:xs="http://www.w3.org/2001/XMLSchema" xmlns:p="http://schemas.microsoft.com/office/2006/metadata/properties" xmlns:ns2="2d5afbee-505a-4c33-ae04-1a279237fa3d" xmlns:ns3="2354d8a9-a753-4245-b6ba-9de427444295" targetNamespace="http://schemas.microsoft.com/office/2006/metadata/properties" ma:root="true" ma:fieldsID="f32599c44e69c799a1995b9f40a05ff7" ns2:_="" ns3:_="">
    <xsd:import namespace="2d5afbee-505a-4c33-ae04-1a279237fa3d"/>
    <xsd:import namespace="2354d8a9-a753-4245-b6ba-9de427444295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5afbee-505a-4c33-ae04-1a279237fa3d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Etiquetas de imagen" ma:readOnly="false" ma:fieldId="{5cf76f15-5ced-4ddc-b409-7134ff3c332f}" ma:taxonomyMulti="true" ma:sspId="a2863e68-ee6d-485e-ab62-ccc2cb8e042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54d8a9-a753-4245-b6ba-9de427444295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9273a6cb-d30a-4e2f-ac47-c180af586848}" ma:internalName="TaxCatchAll" ma:showField="CatchAllData" ma:web="2354d8a9-a753-4245-b6ba-9de42744429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0F5B707-29A0-4A44-8792-3EEB5B72CCA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0EC91F0-961E-48F1-A2D7-5C11B236D929}">
  <ds:schemaRefs>
    <ds:schemaRef ds:uri="http://schemas.microsoft.com/office/2006/metadata/properties"/>
    <ds:schemaRef ds:uri="http://schemas.microsoft.com/office/infopath/2007/PartnerControls"/>
    <ds:schemaRef ds:uri="2354d8a9-a753-4245-b6ba-9de427444295"/>
    <ds:schemaRef ds:uri="2d5afbee-505a-4c33-ae04-1a279237fa3d"/>
  </ds:schemaRefs>
</ds:datastoreItem>
</file>

<file path=customXml/itemProps3.xml><?xml version="1.0" encoding="utf-8"?>
<ds:datastoreItem xmlns:ds="http://schemas.openxmlformats.org/officeDocument/2006/customXml" ds:itemID="{0E189E58-4639-4384-8A28-D3B1657CD02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d5afbee-505a-4c33-ae04-1a279237fa3d"/>
    <ds:schemaRef ds:uri="2354d8a9-a753-4245-b6ba-9de42744429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Sitios</vt:lpstr>
      <vt:lpstr>Hoja de Cálculo - Costos insumo</vt:lpstr>
    </vt:vector>
  </TitlesOfParts>
  <Manager/>
  <Company>Ingeniería Caro &amp; Caro Ltda.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Icetel</dc:creator>
  <cp:keywords/>
  <dc:description/>
  <cp:lastModifiedBy>Pedro Luis Martínez Agüero</cp:lastModifiedBy>
  <cp:revision/>
  <dcterms:created xsi:type="dcterms:W3CDTF">2020-09-14T15:53:59Z</dcterms:created>
  <dcterms:modified xsi:type="dcterms:W3CDTF">2026-06-06T16:35:12Z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0x0101000AAF49289134B44DB112DFB4633916E5</vt:lpwstr>
  </property>
  <property fmtid="{D5CDD505-2E9C-101B-9397-08002B2CF9AE}" pid="3" name="MediaServiceImageTags">
    <vt:lpwstr/>
  </property>
</Properties>
</file>